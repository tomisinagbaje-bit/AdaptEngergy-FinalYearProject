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Gantt" sheetId="2" state="visible" r:id="rId4"/>
    <sheet name="Change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Edit the yellow cells only: planned dates when you re-plan, actual start and end, % complete and notes. Baseline dates stay frozen for the mid-term review.</t>
        </r>
      </text>
    </comment>
  </commentList>
</comments>
</file>

<file path=xl/sharedStrings.xml><?xml version="1.0" encoding="utf-8"?>
<sst xmlns="http://schemas.openxmlformats.org/spreadsheetml/2006/main" count="421" uniqueCount="213">
  <si>
    <t xml:space="preserve">How to use this Gantt chart</t>
  </si>
  <si>
    <t xml:space="preserve">1. Each Friday, fill in the yellow cells on the Gantt sheet: actual start, actual end and % complete for anything you worked on.</t>
  </si>
  <si>
    <t xml:space="preserve">2. Typing 100% in % complete ticks the task off (✓) and colours its status green.</t>
  </si>
  <si>
    <t xml:space="preserve">3. Status updates by itself from today's date: Not started, On track, Behind (less done than the time used suggests), Late (past the planned end), Done.</t>
  </si>
  <si>
    <t xml:space="preserve">4. If a task slips, change its Planned start and end, write the reason in Notes, and add a row to the Change log. Never edit the Baseline columns: they are the original plan the mid-term review compares against.</t>
  </si>
  <si>
    <t xml:space="preserve">5. Slip vs baseline shows, in weeks, how far each task has moved from the original plan (red when late).</t>
  </si>
  <si>
    <t xml:space="preserve">6. Critical tasks (red bars) have no float: if one slips, the tasks after it slip too. Non-critical tasks (grey) can use their float (hatched) without delaying the project.</t>
  </si>
  <si>
    <t xml:space="preserve">7. ● marks the weeks you actually worked on a task (from Actual start to Actual end, or to today if it is still running). ◆ marks a milestone.</t>
  </si>
  <si>
    <t xml:space="preserve">8. Week 1 starts on Monday 19 October 2026. Assessment dates (mid-term, report, demonstration) are planned dates: confirm them on Blackboard under Assessment Feedback and update the milestones.</t>
  </si>
  <si>
    <t xml:space="preserve">9. For the mid-term review, print or screenshot the Gantt sheet with the Change log: together they are the original and revised plan the handbook asks for.</t>
  </si>
  <si>
    <t xml:space="preserve">EE3EPJ Project Gantt Chart: AdaptEnergy (Adaptive Closed-Loop Home Energy Controller)</t>
  </si>
  <si>
    <t xml:space="preserve">Oluwatomisin Agbaje · 240369394 · Supervisors: Dr Faisal M Shah, Dr Andrew Cross · baseline agreed 23 Oct 2026</t>
  </si>
  <si>
    <t xml:space="preserve">Week 1 starts (Monday)</t>
  </si>
  <si>
    <t xml:space="preserve">Current week</t>
  </si>
  <si>
    <t xml:space="preserve">Tasks behind or late</t>
  </si>
  <si>
    <t xml:space="preserve">Today</t>
  </si>
  <si>
    <t xml:space="preserve">Overall progress</t>
  </si>
  <si>
    <t xml:space="preserve">Milestones done</t>
  </si>
  <si>
    <t xml:space="preserve">Week number (top) and Monday date (below). ● = actual work, ◆ = milestone</t>
  </si>
  <si>
    <t xml:space="preserve">ID</t>
  </si>
  <si>
    <t xml:space="preserve">Task</t>
  </si>
  <si>
    <t xml:space="preserve">Type</t>
  </si>
  <si>
    <t xml:space="preserve">Objective</t>
  </si>
  <si>
    <t xml:space="preserve">Depends on</t>
  </si>
  <si>
    <t xml:space="preserve">Critical?</t>
  </si>
  <si>
    <t xml:space="preserve">Baseline start</t>
  </si>
  <si>
    <t xml:space="preserve">Baseline end</t>
  </si>
  <si>
    <t xml:space="preserve">Planned start</t>
  </si>
  <si>
    <t xml:space="preserve">Planned end</t>
  </si>
  <si>
    <t xml:space="preserve">Duration (wks)</t>
  </si>
  <si>
    <t xml:space="preserve">Float (wks)</t>
  </si>
  <si>
    <t xml:space="preserve">Actual start</t>
  </si>
  <si>
    <t xml:space="preserve">Actual end</t>
  </si>
  <si>
    <t xml:space="preserve">% complete</t>
  </si>
  <si>
    <t xml:space="preserve">Status</t>
  </si>
  <si>
    <t xml:space="preserve">Slip vs baseline (wks)</t>
  </si>
  <si>
    <t xml:space="preserve">Done</t>
  </si>
  <si>
    <t xml:space="preserve">Earned (wks)</t>
  </si>
  <si>
    <t xml:space="preserve">Notes / reason for change</t>
  </si>
  <si>
    <t xml:space="preserve">Project management</t>
  </si>
  <si>
    <t xml:space="preserve">Group</t>
  </si>
  <si>
    <t xml:space="preserve">PM1</t>
  </si>
  <si>
    <t xml:space="preserve">Proposal review</t>
  </si>
  <si>
    <t xml:space="preserve">Milestone</t>
  </si>
  <si>
    <t xml:space="preserve">Yes</t>
  </si>
  <si>
    <t xml:space="preserve">Held 21 Oct 2026; mark 46.9%; feedback built into the v5 deck and this plan</t>
  </si>
  <si>
    <t xml:space="preserve">PM2</t>
  </si>
  <si>
    <t xml:space="preserve">Confirm Blackboard tasks (ethics, H&amp;S, codes, inclusion) signed and uploaded</t>
  </si>
  <si>
    <t xml:space="preserve">PM3</t>
  </si>
  <si>
    <t xml:space="preserve">Set up hardback logbook; first signed entry</t>
  </si>
  <si>
    <t xml:space="preserve">No</t>
  </si>
  <si>
    <t xml:space="preserve">PM4</t>
  </si>
  <si>
    <t xml:space="preserve">Technical risk register v1 (review every fortnight after)</t>
  </si>
  <si>
    <t xml:space="preserve">PM5</t>
  </si>
  <si>
    <t xml:space="preserve">Supervisor meetings, fortnightly, with minutes (term 1)</t>
  </si>
  <si>
    <t xml:space="preserve">PM6</t>
  </si>
  <si>
    <t xml:space="preserve">Supervisor meetings, weekly, with minutes (term 2)</t>
  </si>
  <si>
    <t xml:space="preserve">PM7</t>
  </si>
  <si>
    <t xml:space="preserve">Mid-term pack: deck, logbook, literature review, original and revised Gantt</t>
  </si>
  <si>
    <t xml:space="preserve">F3</t>
  </si>
  <si>
    <t xml:space="preserve">PM8</t>
  </si>
  <si>
    <t xml:space="preserve">Mid-term review (confirm date on Blackboard)</t>
  </si>
  <si>
    <t xml:space="preserve">Literature review</t>
  </si>
  <si>
    <t xml:space="preserve">L1</t>
  </si>
  <si>
    <t xml:space="preserve">Literature search: 15 sources logged</t>
  </si>
  <si>
    <t xml:space="preserve">L2</t>
  </si>
  <si>
    <t xml:space="preserve">Literature comparison table and gap (30 sources)</t>
  </si>
  <si>
    <t xml:space="preserve">L3</t>
  </si>
  <si>
    <t xml:space="preserve">Literature review chapter drafted</t>
  </si>
  <si>
    <t xml:space="preserve">L4</t>
  </si>
  <si>
    <t xml:space="preserve">Literature review draft sent to Dr Shah</t>
  </si>
  <si>
    <t xml:space="preserve">Data and software (laptop)</t>
  </si>
  <si>
    <t xml:space="preserve">S1</t>
  </si>
  <si>
    <t xml:space="preserve">Download and store a year of Octopus and Elexon data</t>
  </si>
  <si>
    <t xml:space="preserve">O1</t>
  </si>
  <si>
    <t xml:space="preserve">S2</t>
  </si>
  <si>
    <t xml:space="preserve">Data pipeline: cleaning and alignment</t>
  </si>
  <si>
    <t xml:space="preserve">S3</t>
  </si>
  <si>
    <t xml:space="preserve">O1 met: T1 data-quality report</t>
  </si>
  <si>
    <t xml:space="preserve">S4</t>
  </si>
  <si>
    <t xml:space="preserve">Python simulator skeleton</t>
  </si>
  <si>
    <t xml:space="preserve">O8</t>
  </si>
  <si>
    <t xml:space="preserve">S5</t>
  </si>
  <si>
    <t xml:space="preserve">Perfect plan by linear programming</t>
  </si>
  <si>
    <t xml:space="preserve">S6</t>
  </si>
  <si>
    <t xml:space="preserve">DP state count and timing in Python</t>
  </si>
  <si>
    <t xml:space="preserve">O6</t>
  </si>
  <si>
    <t xml:space="preserve">S7</t>
  </si>
  <si>
    <t xml:space="preserve">Baseline forecasters and first results</t>
  </si>
  <si>
    <t xml:space="preserve">O5</t>
  </si>
  <si>
    <t xml:space="preserve">S8</t>
  </si>
  <si>
    <t xml:space="preserve">LightGBM forecaster against baselines (T5)</t>
  </si>
  <si>
    <t xml:space="preserve">S9</t>
  </si>
  <si>
    <t xml:space="preserve">O5 met: forecaster results</t>
  </si>
  <si>
    <t xml:space="preserve">Hardware</t>
  </si>
  <si>
    <t xml:space="preserve">H1</t>
  </si>
  <si>
    <t xml:space="preserve">Order chips and parts via technician (by Wed 28 Oct, 17:00)</t>
  </si>
  <si>
    <t xml:space="preserve">H2</t>
  </si>
  <si>
    <t xml:space="preserve">Proteus practice task</t>
  </si>
  <si>
    <t xml:space="preserve">H3</t>
  </si>
  <si>
    <t xml:space="preserve">Sensing PCB: schematic in Proteus, technician review</t>
  </si>
  <si>
    <t xml:space="preserve">O2</t>
  </si>
  <si>
    <t xml:space="preserve">H4</t>
  </si>
  <si>
    <t xml:space="preserve">Sensing PCB: layout, design-rule check, Tuesday submission</t>
  </si>
  <si>
    <t xml:space="preserve">H5</t>
  </si>
  <si>
    <t xml:space="preserve">Sensing PCB: assembly on the SMD station</t>
  </si>
  <si>
    <t xml:space="preserve">H6</t>
  </si>
  <si>
    <t xml:space="preserve">Sensing PCB: T2 calibration sweep</t>
  </si>
  <si>
    <t xml:space="preserve">H7</t>
  </si>
  <si>
    <t xml:space="preserve">O2 met: sensing PCB</t>
  </si>
  <si>
    <t xml:space="preserve">H8</t>
  </si>
  <si>
    <t xml:space="preserve">Over-current trip on breadboard; switching schematic</t>
  </si>
  <si>
    <t xml:space="preserve">O4</t>
  </si>
  <si>
    <t xml:space="preserve">H9</t>
  </si>
  <si>
    <t xml:space="preserve">Switching PCB: layout and submission</t>
  </si>
  <si>
    <t xml:space="preserve">H10</t>
  </si>
  <si>
    <t xml:space="preserve">Switching PCB: assembly</t>
  </si>
  <si>
    <t xml:space="preserve">H11</t>
  </si>
  <si>
    <t xml:space="preserve">Switching PCB: T4 tests</t>
  </si>
  <si>
    <t xml:space="preserve">H12</t>
  </si>
  <si>
    <t xml:space="preserve">O4 met: switching and protection PCB</t>
  </si>
  <si>
    <t xml:space="preserve">H13</t>
  </si>
  <si>
    <t xml:space="preserve">Electronic load: breadboard loop, step response, tuning</t>
  </si>
  <si>
    <t xml:space="preserve">O3</t>
  </si>
  <si>
    <t xml:space="preserve">H14</t>
  </si>
  <si>
    <t xml:space="preserve">Electronic load: PCB submission</t>
  </si>
  <si>
    <t xml:space="preserve">H15</t>
  </si>
  <si>
    <t xml:space="preserve">Electronic load: assembly and T3 tests</t>
  </si>
  <si>
    <t xml:space="preserve">H16</t>
  </si>
  <si>
    <t xml:space="preserve">O3 met: electronic load</t>
  </si>
  <si>
    <t xml:space="preserve">H17</t>
  </si>
  <si>
    <t xml:space="preserve">Battery round-trip efficiency test</t>
  </si>
  <si>
    <t xml:space="preserve">Christmas and January exams</t>
  </si>
  <si>
    <t xml:space="preserve">X1</t>
  </si>
  <si>
    <t xml:space="preserve">Christmas and January exams (no planned project work)</t>
  </si>
  <si>
    <t xml:space="preserve">Break</t>
  </si>
  <si>
    <t xml:space="preserve">Firmware and interface (ESP32)</t>
  </si>
  <si>
    <t xml:space="preserve">F1</t>
  </si>
  <si>
    <t xml:space="preserve">FreeRTOS practice task</t>
  </si>
  <si>
    <t xml:space="preserve">F2</t>
  </si>
  <si>
    <t xml:space="preserve">DP planner on the ESP32 under FreeRTOS</t>
  </si>
  <si>
    <t xml:space="preserve">H15, S6</t>
  </si>
  <si>
    <t xml:space="preserve">T6: re-plan timing and memory</t>
  </si>
  <si>
    <t xml:space="preserve">F4</t>
  </si>
  <si>
    <t xml:space="preserve">O6 met: adaptive controller</t>
  </si>
  <si>
    <t xml:space="preserve">U1</t>
  </si>
  <si>
    <t xml:space="preserve">LCD, LED price bar and buttons</t>
  </si>
  <si>
    <t xml:space="preserve">O7</t>
  </si>
  <si>
    <t xml:space="preserve">U2</t>
  </si>
  <si>
    <t xml:space="preserve">MQTT dashboard (Mosquitto, SQLite, Streamlit)</t>
  </si>
  <si>
    <t xml:space="preserve">U3</t>
  </si>
  <si>
    <t xml:space="preserve">T7: display and IoT tests</t>
  </si>
  <si>
    <t xml:space="preserve">U4</t>
  </si>
  <si>
    <t xml:space="preserve">O7 met: display and IoT</t>
  </si>
  <si>
    <t xml:space="preserve">Integration and evaluation</t>
  </si>
  <si>
    <t xml:space="preserve">I1</t>
  </si>
  <si>
    <t xml:space="preserve">Integration: all boards, ESP32 and laptop in one loop</t>
  </si>
  <si>
    <t xml:space="preserve">E1</t>
  </si>
  <si>
    <t xml:space="preserve">Simulation: five scenarios over the held-out year</t>
  </si>
  <si>
    <t xml:space="preserve">I1, S5</t>
  </si>
  <si>
    <t xml:space="preserve">E2</t>
  </si>
  <si>
    <t xml:space="preserve">Rig runs: 24 replayed days</t>
  </si>
  <si>
    <t xml:space="preserve">E3</t>
  </si>
  <si>
    <t xml:space="preserve">Trade-off studies (shunt, emulation, resolution, re-plan rate, forecast value)</t>
  </si>
  <si>
    <t xml:space="preserve">E4</t>
  </si>
  <si>
    <t xml:space="preserve">Statistics and T8</t>
  </si>
  <si>
    <t xml:space="preserve">E1, E2</t>
  </si>
  <si>
    <t xml:space="preserve">E5</t>
  </si>
  <si>
    <t xml:space="preserve">O8 met: evaluation</t>
  </si>
  <si>
    <t xml:space="preserve">E6</t>
  </si>
  <si>
    <t xml:space="preserve">Extensions, only if on track</t>
  </si>
  <si>
    <t xml:space="preserve">Report and demonstration</t>
  </si>
  <si>
    <t xml:space="preserve">W1</t>
  </si>
  <si>
    <t xml:space="preserve">Report: Chapters 1 and 3 drafted</t>
  </si>
  <si>
    <t xml:space="preserve">W2</t>
  </si>
  <si>
    <t xml:space="preserve">Report: design and implementation chapters</t>
  </si>
  <si>
    <t xml:space="preserve">W3</t>
  </si>
  <si>
    <t xml:space="preserve">Report: testing chapter</t>
  </si>
  <si>
    <t xml:space="preserve">W4</t>
  </si>
  <si>
    <t xml:space="preserve">Report: evaluation and reflection chapters</t>
  </si>
  <si>
    <t xml:space="preserve">W5</t>
  </si>
  <si>
    <t xml:space="preserve">Full report draft to Dr Shah</t>
  </si>
  <si>
    <t xml:space="preserve">W6</t>
  </si>
  <si>
    <t xml:space="preserve">Revise from feedback; references, figures, word count, code annexe</t>
  </si>
  <si>
    <t xml:space="preserve">W7</t>
  </si>
  <si>
    <t xml:space="preserve">Report submitted (confirm date on Blackboard)</t>
  </si>
  <si>
    <t xml:space="preserve">D1</t>
  </si>
  <si>
    <t xml:space="preserve">Demonstration: rehearsal, recorded backup, results poster</t>
  </si>
  <si>
    <t xml:space="preserve">D2</t>
  </si>
  <si>
    <t xml:space="preserve">Demonstration (confirm date on Blackboard)</t>
  </si>
  <si>
    <t xml:space="preserve">Legend</t>
  </si>
  <si>
    <t xml:space="preserve">Critical path (any slip delays the project)</t>
  </si>
  <si>
    <t xml:space="preserve">Non-critical task</t>
  </si>
  <si>
    <t xml:space="preserve">Float (slack): can slip this far without delaying anything</t>
  </si>
  <si>
    <t xml:space="preserve">Christmas and exams (no project work)</t>
  </si>
  <si>
    <t xml:space="preserve">●</t>
  </si>
  <si>
    <t xml:space="preserve">Actual work: drawn from your actual start date to your actual end date (or today)</t>
  </si>
  <si>
    <t xml:space="preserve">◆</t>
  </si>
  <si>
    <t xml:space="preserve">Milestone (the date in Planned start/end)</t>
  </si>
  <si>
    <t xml:space="preserve">Yellow cells are yours to fill in; everything else updates by itself</t>
  </si>
  <si>
    <t xml:space="preserve">Baseline = the official plan (never edit). Planned = my ahead-of-schedule targets (aim: O8 done 5 weeks early). Negative slip = weeks ahead.</t>
  </si>
  <si>
    <t xml:space="preserve">Change log: every slip or re-plan, for the mid-term review</t>
  </si>
  <si>
    <t xml:space="preserve">The handbook asks for the original and revised plan, with slippages and how changes were decided. Add a row each time you move a planned date.</t>
  </si>
  <si>
    <t xml:space="preserve">Date</t>
  </si>
  <si>
    <t xml:space="preserve">Task ID</t>
  </si>
  <si>
    <t xml:space="preserve">Old planned end</t>
  </si>
  <si>
    <t xml:space="preserve">New planned end</t>
  </si>
  <si>
    <t xml:space="preserve">Slip (days)</t>
  </si>
  <si>
    <t xml:space="preserve">Reason</t>
  </si>
  <si>
    <t xml:space="preserve">Decision and who agreed it</t>
  </si>
  <si>
    <t xml:space="preserve">Logbook page</t>
  </si>
  <si>
    <t xml:space="preserve">Example row: no change, proposal review held as planned</t>
  </si>
  <si>
    <t xml:space="preserve">None needed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</si>
</sst>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d\ mmm\ yyyy"/>
    <numFmt numFmtId="166" formatCode="General"/>
    <numFmt numFmtId="167" formatCode="0%"/>
    <numFmt numFmtId="168" formatCode="d\ mmm"/>
    <numFmt numFmtId="169" formatCode="dd/mm/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582C83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4"/>
      <color rgb="FF582C83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7"/>
      <name val="Arial"/>
      <family val="0"/>
      <charset val="1"/>
    </font>
    <font>
      <b val="true"/>
      <sz val="10"/>
      <color rgb="FF582C83"/>
      <name val="Arial"/>
      <family val="0"/>
      <charset val="1"/>
    </font>
    <font>
      <sz val="8"/>
      <color rgb="FFF1ECF6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i val="true"/>
      <sz val="9"/>
      <color rgb="FF6B6B6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3F3F3"/>
      </patternFill>
    </fill>
    <fill>
      <patternFill patternType="solid">
        <fgColor rgb="FFE6DDEF"/>
        <bgColor rgb="FFE0DADA"/>
      </patternFill>
    </fill>
    <fill>
      <patternFill patternType="solid">
        <fgColor rgb="FFF1ECF6"/>
        <bgColor rgb="FFF3F3F3"/>
      </patternFill>
    </fill>
    <fill>
      <patternFill patternType="solid">
        <fgColor rgb="FFE8A3A3"/>
        <bgColor rgb="FFFF8080"/>
      </patternFill>
    </fill>
    <fill>
      <patternFill patternType="solid">
        <fgColor rgb="FFC9C9C9"/>
        <bgColor rgb="FFBFBFBF"/>
      </patternFill>
    </fill>
    <fill>
      <patternFill patternType="solid">
        <fgColor rgb="FFF3F3F3"/>
        <bgColor rgb="FFF1ECF6"/>
      </patternFill>
    </fill>
    <fill>
      <patternFill patternType="solid">
        <fgColor rgb="FFE0DADA"/>
        <bgColor rgb="FFD9D9D9"/>
      </patternFill>
    </fill>
    <fill>
      <patternFill patternType="solid">
        <fgColor rgb="FFFFE699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EBD9D9"/>
        </patternFill>
      </fill>
    </dxf>
    <dxf>
      <fill>
        <patternFill>
          <bgColor rgb="FFE8A3A3"/>
        </patternFill>
      </fill>
    </dxf>
    <dxf>
      <fill>
        <patternFill>
          <bgColor rgb="FFC9C9C9"/>
        </patternFill>
      </fill>
    </dxf>
    <dxf>
      <fill>
        <patternFill>
          <bgColor rgb="FFF3F3F3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1"/>
        <color rgb="FFC00000"/>
      </font>
    </dxf>
  </dxfs>
  <colors>
    <indexedColors>
      <rgbColor rgb="FF000000"/>
      <rgbColor rgb="FFF3F3F3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6DDE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CF6"/>
      <rgbColor rgb="FFC6EFCE"/>
      <rgbColor rgb="FFFFEB9C"/>
      <rgbColor rgb="FFC9C9C9"/>
      <rgbColor rgb="FFE8A3A3"/>
      <rgbColor rgb="FFE0DADA"/>
      <rgbColor rgb="FFFFC7CE"/>
      <rgbColor rgb="FF3366FF"/>
      <rgbColor rgb="FF33CCCC"/>
      <rgbColor rgb="FF99CC00"/>
      <rgbColor rgb="FFFFCC00"/>
      <rgbColor rgb="FFFF9900"/>
      <rgbColor rgb="FFFF6600"/>
      <rgbColor rgb="FF6B6B6B"/>
      <rgbColor rgb="FFEBD9D9"/>
      <rgbColor rgb="FF003366"/>
      <rgbColor rgb="FF339966"/>
      <rgbColor rgb="FF003300"/>
      <rgbColor rgb="FF333300"/>
      <rgbColor rgb="FF993300"/>
      <rgbColor rgb="FF993366"/>
      <rgbColor rgb="FF582C83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23.85" hidden="false" customHeight="false" outlineLevel="0" collapsed="false">
      <c r="A4" s="2" t="s">
        <v>3</v>
      </c>
    </row>
    <row r="5" customFormat="false" ht="23.8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23.8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23.85" hidden="false" customHeight="false" outlineLevel="0" collapsed="false">
      <c r="A9" s="2" t="s">
        <v>8</v>
      </c>
    </row>
    <row r="10" customFormat="false" ht="23.85" hidden="false" customHeight="false" outlineLevel="0" collapsed="false">
      <c r="A10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8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10" min="7" style="0" width="11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19" min="19" style="0" width="8"/>
    <col collapsed="false" customWidth="true" hidden="false" outlineLevel="0" max="20" min="20" style="0" width="34"/>
    <col collapsed="false" customWidth="true" hidden="false" outlineLevel="0" max="52" min="21" style="0" width="3.61"/>
  </cols>
  <sheetData>
    <row r="1" customFormat="false" ht="17.35" hidden="false" customHeight="false" outlineLevel="0" collapsed="false">
      <c r="A1" s="3" t="s">
        <v>10</v>
      </c>
    </row>
    <row r="2" customFormat="false" ht="15" hidden="false" customHeight="false" outlineLevel="0" collapsed="false">
      <c r="A2" s="4" t="s">
        <v>11</v>
      </c>
    </row>
    <row r="3" customFormat="false" ht="15" hidden="false" customHeight="false" outlineLevel="0" collapsed="false">
      <c r="B3" s="5" t="s">
        <v>12</v>
      </c>
      <c r="D3" s="6" t="n">
        <v>46314</v>
      </c>
      <c r="E3" s="6"/>
      <c r="G3" s="5" t="s">
        <v>13</v>
      </c>
      <c r="I3" s="7" t="n">
        <f aca="false">INT((D4-D3)/7)+1</f>
        <v>1</v>
      </c>
      <c r="K3" s="5" t="s">
        <v>14</v>
      </c>
      <c r="N3" s="8" t="n">
        <f aca="false">COUNTIF(P8:P78,"Behind")+COUNTIF(P8:P78,"Late")+COUNTIF(P8:P78,"Overdue")</f>
        <v>6</v>
      </c>
    </row>
    <row r="4" customFormat="false" ht="15" hidden="false" customHeight="false" outlineLevel="0" collapsed="false">
      <c r="B4" s="5" t="s">
        <v>15</v>
      </c>
      <c r="D4" s="9" t="n">
        <f aca="true">TODAY()</f>
        <v>46318</v>
      </c>
      <c r="E4" s="9"/>
      <c r="G4" s="5" t="s">
        <v>16</v>
      </c>
      <c r="I4" s="10" t="n">
        <f aca="false">IFERROR(SUMIFS(S8:S78,C8:C78,"Task")/SUMIFS(K8:K78,C8:C78,"Task"),0)</f>
        <v>0</v>
      </c>
      <c r="K4" s="5" t="s">
        <v>17</v>
      </c>
      <c r="N4" s="7" t="str">
        <f aca="false">COUNTIFS(C8:C78,"Milestone",R8:R78,"✓")&amp;" of "&amp;COUNTIF(C8:C78,"Milestone")</f>
        <v>1 of 14</v>
      </c>
    </row>
    <row r="5" customFormat="false" ht="15" hidden="false" customHeight="false" outlineLevel="0" collapsed="false">
      <c r="U5" s="11" t="s">
        <v>18</v>
      </c>
    </row>
    <row r="6" customFormat="false" ht="15" hidden="false" customHeight="true" outlineLevel="0" collapsed="false">
      <c r="A6" s="12" t="s">
        <v>19</v>
      </c>
      <c r="B6" s="12" t="s">
        <v>20</v>
      </c>
      <c r="C6" s="12" t="s">
        <v>21</v>
      </c>
      <c r="D6" s="12" t="s">
        <v>22</v>
      </c>
      <c r="E6" s="12" t="s">
        <v>23</v>
      </c>
      <c r="F6" s="12" t="s">
        <v>24</v>
      </c>
      <c r="G6" s="12" t="s">
        <v>25</v>
      </c>
      <c r="H6" s="12" t="s">
        <v>26</v>
      </c>
      <c r="I6" s="12" t="s">
        <v>27</v>
      </c>
      <c r="J6" s="12" t="s">
        <v>28</v>
      </c>
      <c r="K6" s="12" t="s">
        <v>29</v>
      </c>
      <c r="L6" s="12" t="s">
        <v>30</v>
      </c>
      <c r="M6" s="12" t="s">
        <v>31</v>
      </c>
      <c r="N6" s="12" t="s">
        <v>32</v>
      </c>
      <c r="O6" s="12" t="s">
        <v>33</v>
      </c>
      <c r="P6" s="12" t="s">
        <v>34</v>
      </c>
      <c r="Q6" s="12" t="s">
        <v>35</v>
      </c>
      <c r="R6" s="12" t="s">
        <v>36</v>
      </c>
      <c r="S6" s="12" t="s">
        <v>37</v>
      </c>
      <c r="T6" s="12" t="s">
        <v>38</v>
      </c>
      <c r="U6" s="13" t="n">
        <v>1</v>
      </c>
      <c r="V6" s="13" t="n">
        <v>2</v>
      </c>
      <c r="W6" s="13" t="n">
        <v>3</v>
      </c>
      <c r="X6" s="13" t="n">
        <v>4</v>
      </c>
      <c r="Y6" s="13" t="n">
        <v>5</v>
      </c>
      <c r="Z6" s="13" t="n">
        <v>6</v>
      </c>
      <c r="AA6" s="13" t="n">
        <v>7</v>
      </c>
      <c r="AB6" s="13" t="n">
        <v>8</v>
      </c>
      <c r="AC6" s="13" t="n">
        <v>9</v>
      </c>
      <c r="AD6" s="13" t="n">
        <v>10</v>
      </c>
      <c r="AE6" s="13" t="n">
        <v>11</v>
      </c>
      <c r="AF6" s="13" t="n">
        <v>12</v>
      </c>
      <c r="AG6" s="13" t="n">
        <v>13</v>
      </c>
      <c r="AH6" s="13" t="n">
        <v>14</v>
      </c>
      <c r="AI6" s="13" t="n">
        <v>15</v>
      </c>
      <c r="AJ6" s="13" t="n">
        <v>16</v>
      </c>
      <c r="AK6" s="13" t="n">
        <v>17</v>
      </c>
      <c r="AL6" s="13" t="n">
        <v>18</v>
      </c>
      <c r="AM6" s="13" t="n">
        <v>19</v>
      </c>
      <c r="AN6" s="13" t="n">
        <v>20</v>
      </c>
      <c r="AO6" s="13" t="n">
        <v>21</v>
      </c>
      <c r="AP6" s="13" t="n">
        <v>22</v>
      </c>
      <c r="AQ6" s="13" t="n">
        <v>23</v>
      </c>
      <c r="AR6" s="13" t="n">
        <v>24</v>
      </c>
      <c r="AS6" s="13" t="n">
        <v>25</v>
      </c>
      <c r="AT6" s="13" t="n">
        <v>26</v>
      </c>
      <c r="AU6" s="13" t="n">
        <v>27</v>
      </c>
      <c r="AV6" s="13" t="n">
        <v>28</v>
      </c>
      <c r="AW6" s="13" t="n">
        <v>29</v>
      </c>
      <c r="AX6" s="13" t="n">
        <v>30</v>
      </c>
      <c r="AY6" s="13" t="n">
        <v>31</v>
      </c>
      <c r="AZ6" s="13" t="n">
        <v>32</v>
      </c>
    </row>
    <row r="7" customFormat="false" ht="37.5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4" t="n">
        <f aca="false">$D$3+7*(U$6-1)</f>
        <v>46314</v>
      </c>
      <c r="V7" s="14" t="n">
        <f aca="false">$D$3+7*(V$6-1)</f>
        <v>46321</v>
      </c>
      <c r="W7" s="14" t="n">
        <f aca="false">$D$3+7*(W$6-1)</f>
        <v>46328</v>
      </c>
      <c r="X7" s="14" t="n">
        <f aca="false">$D$3+7*(X$6-1)</f>
        <v>46335</v>
      </c>
      <c r="Y7" s="14" t="n">
        <f aca="false">$D$3+7*(Y$6-1)</f>
        <v>46342</v>
      </c>
      <c r="Z7" s="14" t="n">
        <f aca="false">$D$3+7*(Z$6-1)</f>
        <v>46349</v>
      </c>
      <c r="AA7" s="14" t="n">
        <f aca="false">$D$3+7*(AA$6-1)</f>
        <v>46356</v>
      </c>
      <c r="AB7" s="14" t="n">
        <f aca="false">$D$3+7*(AB$6-1)</f>
        <v>46363</v>
      </c>
      <c r="AC7" s="14" t="n">
        <f aca="false">$D$3+7*(AC$6-1)</f>
        <v>46370</v>
      </c>
      <c r="AD7" s="14" t="n">
        <f aca="false">$D$3+7*(AD$6-1)</f>
        <v>46377</v>
      </c>
      <c r="AE7" s="14" t="n">
        <f aca="false">$D$3+7*(AE$6-1)</f>
        <v>46384</v>
      </c>
      <c r="AF7" s="14" t="n">
        <f aca="false">$D$3+7*(AF$6-1)</f>
        <v>46391</v>
      </c>
      <c r="AG7" s="14" t="n">
        <f aca="false">$D$3+7*(AG$6-1)</f>
        <v>46398</v>
      </c>
      <c r="AH7" s="14" t="n">
        <f aca="false">$D$3+7*(AH$6-1)</f>
        <v>46405</v>
      </c>
      <c r="AI7" s="14" t="n">
        <f aca="false">$D$3+7*(AI$6-1)</f>
        <v>46412</v>
      </c>
      <c r="AJ7" s="14" t="n">
        <f aca="false">$D$3+7*(AJ$6-1)</f>
        <v>46419</v>
      </c>
      <c r="AK7" s="14" t="n">
        <f aca="false">$D$3+7*(AK$6-1)</f>
        <v>46426</v>
      </c>
      <c r="AL7" s="14" t="n">
        <f aca="false">$D$3+7*(AL$6-1)</f>
        <v>46433</v>
      </c>
      <c r="AM7" s="14" t="n">
        <f aca="false">$D$3+7*(AM$6-1)</f>
        <v>46440</v>
      </c>
      <c r="AN7" s="14" t="n">
        <f aca="false">$D$3+7*(AN$6-1)</f>
        <v>46447</v>
      </c>
      <c r="AO7" s="14" t="n">
        <f aca="false">$D$3+7*(AO$6-1)</f>
        <v>46454</v>
      </c>
      <c r="AP7" s="14" t="n">
        <f aca="false">$D$3+7*(AP$6-1)</f>
        <v>46461</v>
      </c>
      <c r="AQ7" s="14" t="n">
        <f aca="false">$D$3+7*(AQ$6-1)</f>
        <v>46468</v>
      </c>
      <c r="AR7" s="14" t="n">
        <f aca="false">$D$3+7*(AR$6-1)</f>
        <v>46475</v>
      </c>
      <c r="AS7" s="14" t="n">
        <f aca="false">$D$3+7*(AS$6-1)</f>
        <v>46482</v>
      </c>
      <c r="AT7" s="14" t="n">
        <f aca="false">$D$3+7*(AT$6-1)</f>
        <v>46489</v>
      </c>
      <c r="AU7" s="14" t="n">
        <f aca="false">$D$3+7*(AU$6-1)</f>
        <v>46496</v>
      </c>
      <c r="AV7" s="14" t="n">
        <f aca="false">$D$3+7*(AV$6-1)</f>
        <v>46503</v>
      </c>
      <c r="AW7" s="14" t="n">
        <f aca="false">$D$3+7*(AW$6-1)</f>
        <v>46510</v>
      </c>
      <c r="AX7" s="14" t="n">
        <f aca="false">$D$3+7*(AX$6-1)</f>
        <v>46517</v>
      </c>
      <c r="AY7" s="14" t="n">
        <f aca="false">$D$3+7*(AY$6-1)</f>
        <v>46524</v>
      </c>
      <c r="AZ7" s="14" t="n">
        <f aca="false">$D$3+7*(AZ$6-1)</f>
        <v>46531</v>
      </c>
    </row>
    <row r="8" customFormat="false" ht="15" hidden="false" customHeight="false" outlineLevel="0" collapsed="false">
      <c r="A8" s="15"/>
      <c r="B8" s="16" t="s">
        <v>39</v>
      </c>
      <c r="C8" s="17" t="s">
        <v>40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</row>
    <row r="9" customFormat="false" ht="18" hidden="false" customHeight="true" outlineLevel="0" collapsed="false">
      <c r="A9" s="18" t="s">
        <v>41</v>
      </c>
      <c r="B9" s="19" t="s">
        <v>42</v>
      </c>
      <c r="C9" s="18" t="s">
        <v>43</v>
      </c>
      <c r="D9" s="18"/>
      <c r="E9" s="18"/>
      <c r="F9" s="18" t="s">
        <v>44</v>
      </c>
      <c r="G9" s="20" t="n">
        <v>46316</v>
      </c>
      <c r="H9" s="20" t="n">
        <v>46316</v>
      </c>
      <c r="I9" s="21" t="n">
        <v>46316</v>
      </c>
      <c r="J9" s="21" t="n">
        <v>46316</v>
      </c>
      <c r="K9" s="18" t="str">
        <f aca="false">IF(C9="Task",ROUND((J9-I9+3)/7,0),"")</f>
        <v/>
      </c>
      <c r="L9" s="18"/>
      <c r="M9" s="21"/>
      <c r="N9" s="21" t="n">
        <v>46316</v>
      </c>
      <c r="O9" s="22"/>
      <c r="P9" s="18" t="str">
        <f aca="false">IF(C9="Break","",IF(C9="Milestone",IF(N9&lt;&gt;"","Done",IF($D$4&gt;J9,"Overdue","Upcoming")),IF(N(O9)&gt;=1,"Done",IF($D$4&lt;I9,"Not started",IF($D$4&gt;J9,"Late",IF(N(O9)+0.1&lt;($D$4-I9+1)/(J9-I9+1),"Behind","On track"))))))</f>
        <v>Done</v>
      </c>
      <c r="Q9" s="23" t="n">
        <f aca="false">IF(C9="Break","",ROUND((IF(N9&lt;&gt;"",N9,J9)-H9)/7,1))</f>
        <v>0</v>
      </c>
      <c r="R9" s="18" t="str">
        <f aca="false">IF(C9="Milestone",IF(N9&lt;&gt;"","✓",""),IF(AND(C9="Task",N(O9)&gt;=1),"✓",""))</f>
        <v>✓</v>
      </c>
      <c r="S9" s="18" t="str">
        <f aca="false">IF(C9="Task",K9*N(O9),"")</f>
        <v/>
      </c>
      <c r="T9" s="24" t="s">
        <v>45</v>
      </c>
      <c r="U9" s="25" t="str">
        <f aca="false">IF($C9="Milestone",IF(AND(U$7&lt;=$I9,U$7+6&gt;=$I9),"◆",""),IF(AND($C9="Task",$M9&lt;&gt;"",U$7&lt;=IF($N9="",$D$4,$N9),U$7+6&gt;=$M9),"●",""))</f>
        <v>◆</v>
      </c>
      <c r="V9" s="25" t="str">
        <f aca="false">IF($C9="Milestone",IF(AND(V$7&lt;=$I9,V$7+6&gt;=$I9),"◆",""),IF(AND($C9="Task",$M9&lt;&gt;"",V$7&lt;=IF($N9="",$D$4,$N9),V$7+6&gt;=$M9),"●",""))</f>
        <v/>
      </c>
      <c r="W9" s="25" t="str">
        <f aca="false">IF($C9="Milestone",IF(AND(W$7&lt;=$I9,W$7+6&gt;=$I9),"◆",""),IF(AND($C9="Task",$M9&lt;&gt;"",W$7&lt;=IF($N9="",$D$4,$N9),W$7+6&gt;=$M9),"●",""))</f>
        <v/>
      </c>
      <c r="X9" s="25" t="str">
        <f aca="false">IF($C9="Milestone",IF(AND(X$7&lt;=$I9,X$7+6&gt;=$I9),"◆",""),IF(AND($C9="Task",$M9&lt;&gt;"",X$7&lt;=IF($N9="",$D$4,$N9),X$7+6&gt;=$M9),"●",""))</f>
        <v/>
      </c>
      <c r="Y9" s="25" t="str">
        <f aca="false">IF($C9="Milestone",IF(AND(Y$7&lt;=$I9,Y$7+6&gt;=$I9),"◆",""),IF(AND($C9="Task",$M9&lt;&gt;"",Y$7&lt;=IF($N9="",$D$4,$N9),Y$7+6&gt;=$M9),"●",""))</f>
        <v/>
      </c>
      <c r="Z9" s="25" t="str">
        <f aca="false">IF($C9="Milestone",IF(AND(Z$7&lt;=$I9,Z$7+6&gt;=$I9),"◆",""),IF(AND($C9="Task",$M9&lt;&gt;"",Z$7&lt;=IF($N9="",$D$4,$N9),Z$7+6&gt;=$M9),"●",""))</f>
        <v/>
      </c>
      <c r="AA9" s="25" t="str">
        <f aca="false">IF($C9="Milestone",IF(AND(AA$7&lt;=$I9,AA$7+6&gt;=$I9),"◆",""),IF(AND($C9="Task",$M9&lt;&gt;"",AA$7&lt;=IF($N9="",$D$4,$N9),AA$7+6&gt;=$M9),"●",""))</f>
        <v/>
      </c>
      <c r="AB9" s="25" t="str">
        <f aca="false">IF($C9="Milestone",IF(AND(AB$7&lt;=$I9,AB$7+6&gt;=$I9),"◆",""),IF(AND($C9="Task",$M9&lt;&gt;"",AB$7&lt;=IF($N9="",$D$4,$N9),AB$7+6&gt;=$M9),"●",""))</f>
        <v/>
      </c>
      <c r="AC9" s="25" t="str">
        <f aca="false">IF($C9="Milestone",IF(AND(AC$7&lt;=$I9,AC$7+6&gt;=$I9),"◆",""),IF(AND($C9="Task",$M9&lt;&gt;"",AC$7&lt;=IF($N9="",$D$4,$N9),AC$7+6&gt;=$M9),"●",""))</f>
        <v/>
      </c>
      <c r="AD9" s="25" t="str">
        <f aca="false">IF($C9="Milestone",IF(AND(AD$7&lt;=$I9,AD$7+6&gt;=$I9),"◆",""),IF(AND($C9="Task",$M9&lt;&gt;"",AD$7&lt;=IF($N9="",$D$4,$N9),AD$7+6&gt;=$M9),"●",""))</f>
        <v/>
      </c>
      <c r="AE9" s="25" t="str">
        <f aca="false">IF($C9="Milestone",IF(AND(AE$7&lt;=$I9,AE$7+6&gt;=$I9),"◆",""),IF(AND($C9="Task",$M9&lt;&gt;"",AE$7&lt;=IF($N9="",$D$4,$N9),AE$7+6&gt;=$M9),"●",""))</f>
        <v/>
      </c>
      <c r="AF9" s="25" t="str">
        <f aca="false">IF($C9="Milestone",IF(AND(AF$7&lt;=$I9,AF$7+6&gt;=$I9),"◆",""),IF(AND($C9="Task",$M9&lt;&gt;"",AF$7&lt;=IF($N9="",$D$4,$N9),AF$7+6&gt;=$M9),"●",""))</f>
        <v/>
      </c>
      <c r="AG9" s="25" t="str">
        <f aca="false">IF($C9="Milestone",IF(AND(AG$7&lt;=$I9,AG$7+6&gt;=$I9),"◆",""),IF(AND($C9="Task",$M9&lt;&gt;"",AG$7&lt;=IF($N9="",$D$4,$N9),AG$7+6&gt;=$M9),"●",""))</f>
        <v/>
      </c>
      <c r="AH9" s="25" t="str">
        <f aca="false">IF($C9="Milestone",IF(AND(AH$7&lt;=$I9,AH$7+6&gt;=$I9),"◆",""),IF(AND($C9="Task",$M9&lt;&gt;"",AH$7&lt;=IF($N9="",$D$4,$N9),AH$7+6&gt;=$M9),"●",""))</f>
        <v/>
      </c>
      <c r="AI9" s="25" t="str">
        <f aca="false">IF($C9="Milestone",IF(AND(AI$7&lt;=$I9,AI$7+6&gt;=$I9),"◆",""),IF(AND($C9="Task",$M9&lt;&gt;"",AI$7&lt;=IF($N9="",$D$4,$N9),AI$7+6&gt;=$M9),"●",""))</f>
        <v/>
      </c>
      <c r="AJ9" s="25" t="str">
        <f aca="false">IF($C9="Milestone",IF(AND(AJ$7&lt;=$I9,AJ$7+6&gt;=$I9),"◆",""),IF(AND($C9="Task",$M9&lt;&gt;"",AJ$7&lt;=IF($N9="",$D$4,$N9),AJ$7+6&gt;=$M9),"●",""))</f>
        <v/>
      </c>
      <c r="AK9" s="25" t="str">
        <f aca="false">IF($C9="Milestone",IF(AND(AK$7&lt;=$I9,AK$7+6&gt;=$I9),"◆",""),IF(AND($C9="Task",$M9&lt;&gt;"",AK$7&lt;=IF($N9="",$D$4,$N9),AK$7+6&gt;=$M9),"●",""))</f>
        <v/>
      </c>
      <c r="AL9" s="25" t="str">
        <f aca="false">IF($C9="Milestone",IF(AND(AL$7&lt;=$I9,AL$7+6&gt;=$I9),"◆",""),IF(AND($C9="Task",$M9&lt;&gt;"",AL$7&lt;=IF($N9="",$D$4,$N9),AL$7+6&gt;=$M9),"●",""))</f>
        <v/>
      </c>
      <c r="AM9" s="25" t="str">
        <f aca="false">IF($C9="Milestone",IF(AND(AM$7&lt;=$I9,AM$7+6&gt;=$I9),"◆",""),IF(AND($C9="Task",$M9&lt;&gt;"",AM$7&lt;=IF($N9="",$D$4,$N9),AM$7+6&gt;=$M9),"●",""))</f>
        <v/>
      </c>
      <c r="AN9" s="25" t="str">
        <f aca="false">IF($C9="Milestone",IF(AND(AN$7&lt;=$I9,AN$7+6&gt;=$I9),"◆",""),IF(AND($C9="Task",$M9&lt;&gt;"",AN$7&lt;=IF($N9="",$D$4,$N9),AN$7+6&gt;=$M9),"●",""))</f>
        <v/>
      </c>
      <c r="AO9" s="25" t="str">
        <f aca="false">IF($C9="Milestone",IF(AND(AO$7&lt;=$I9,AO$7+6&gt;=$I9),"◆",""),IF(AND($C9="Task",$M9&lt;&gt;"",AO$7&lt;=IF($N9="",$D$4,$N9),AO$7+6&gt;=$M9),"●",""))</f>
        <v/>
      </c>
      <c r="AP9" s="25" t="str">
        <f aca="false">IF($C9="Milestone",IF(AND(AP$7&lt;=$I9,AP$7+6&gt;=$I9),"◆",""),IF(AND($C9="Task",$M9&lt;&gt;"",AP$7&lt;=IF($N9="",$D$4,$N9),AP$7+6&gt;=$M9),"●",""))</f>
        <v/>
      </c>
      <c r="AQ9" s="25" t="str">
        <f aca="false">IF($C9="Milestone",IF(AND(AQ$7&lt;=$I9,AQ$7+6&gt;=$I9),"◆",""),IF(AND($C9="Task",$M9&lt;&gt;"",AQ$7&lt;=IF($N9="",$D$4,$N9),AQ$7+6&gt;=$M9),"●",""))</f>
        <v/>
      </c>
      <c r="AR9" s="25" t="str">
        <f aca="false">IF($C9="Milestone",IF(AND(AR$7&lt;=$I9,AR$7+6&gt;=$I9),"◆",""),IF(AND($C9="Task",$M9&lt;&gt;"",AR$7&lt;=IF($N9="",$D$4,$N9),AR$7+6&gt;=$M9),"●",""))</f>
        <v/>
      </c>
      <c r="AS9" s="25" t="str">
        <f aca="false">IF($C9="Milestone",IF(AND(AS$7&lt;=$I9,AS$7+6&gt;=$I9),"◆",""),IF(AND($C9="Task",$M9&lt;&gt;"",AS$7&lt;=IF($N9="",$D$4,$N9),AS$7+6&gt;=$M9),"●",""))</f>
        <v/>
      </c>
      <c r="AT9" s="25" t="str">
        <f aca="false">IF($C9="Milestone",IF(AND(AT$7&lt;=$I9,AT$7+6&gt;=$I9),"◆",""),IF(AND($C9="Task",$M9&lt;&gt;"",AT$7&lt;=IF($N9="",$D$4,$N9),AT$7+6&gt;=$M9),"●",""))</f>
        <v/>
      </c>
      <c r="AU9" s="25" t="str">
        <f aca="false">IF($C9="Milestone",IF(AND(AU$7&lt;=$I9,AU$7+6&gt;=$I9),"◆",""),IF(AND($C9="Task",$M9&lt;&gt;"",AU$7&lt;=IF($N9="",$D$4,$N9),AU$7+6&gt;=$M9),"●",""))</f>
        <v/>
      </c>
      <c r="AV9" s="25" t="str">
        <f aca="false">IF($C9="Milestone",IF(AND(AV$7&lt;=$I9,AV$7+6&gt;=$I9),"◆",""),IF(AND($C9="Task",$M9&lt;&gt;"",AV$7&lt;=IF($N9="",$D$4,$N9),AV$7+6&gt;=$M9),"●",""))</f>
        <v/>
      </c>
      <c r="AW9" s="25" t="str">
        <f aca="false">IF($C9="Milestone",IF(AND(AW$7&lt;=$I9,AW$7+6&gt;=$I9),"◆",""),IF(AND($C9="Task",$M9&lt;&gt;"",AW$7&lt;=IF($N9="",$D$4,$N9),AW$7+6&gt;=$M9),"●",""))</f>
        <v/>
      </c>
      <c r="AX9" s="25" t="str">
        <f aca="false">IF($C9="Milestone",IF(AND(AX$7&lt;=$I9,AX$7+6&gt;=$I9),"◆",""),IF(AND($C9="Task",$M9&lt;&gt;"",AX$7&lt;=IF($N9="",$D$4,$N9),AX$7+6&gt;=$M9),"●",""))</f>
        <v/>
      </c>
      <c r="AY9" s="25" t="str">
        <f aca="false">IF($C9="Milestone",IF(AND(AY$7&lt;=$I9,AY$7+6&gt;=$I9),"◆",""),IF(AND($C9="Task",$M9&lt;&gt;"",AY$7&lt;=IF($N9="",$D$4,$N9),AY$7+6&gt;=$M9),"●",""))</f>
        <v/>
      </c>
      <c r="AZ9" s="25" t="str">
        <f aca="false">IF($C9="Milestone",IF(AND(AZ$7&lt;=$I9,AZ$7+6&gt;=$I9),"◆",""),IF(AND($C9="Task",$M9&lt;&gt;"",AZ$7&lt;=IF($N9="",$D$4,$N9),AZ$7+6&gt;=$M9),"●",""))</f>
        <v/>
      </c>
    </row>
    <row r="10" customFormat="false" ht="18" hidden="false" customHeight="true" outlineLevel="0" collapsed="false">
      <c r="A10" s="18" t="s">
        <v>46</v>
      </c>
      <c r="B10" s="19" t="s">
        <v>47</v>
      </c>
      <c r="C10" s="18" t="s">
        <v>20</v>
      </c>
      <c r="D10" s="18"/>
      <c r="E10" s="18"/>
      <c r="F10" s="18" t="s">
        <v>44</v>
      </c>
      <c r="G10" s="20" t="n">
        <v>46321</v>
      </c>
      <c r="H10" s="20" t="n">
        <v>46325</v>
      </c>
      <c r="I10" s="21" t="n">
        <v>46321</v>
      </c>
      <c r="J10" s="21" t="n">
        <v>46325</v>
      </c>
      <c r="K10" s="18" t="n">
        <f aca="false">IF(C10="Task",ROUND((J10-I10+3)/7,0),"")</f>
        <v>1</v>
      </c>
      <c r="L10" s="18" t="n">
        <v>0</v>
      </c>
      <c r="M10" s="21"/>
      <c r="N10" s="21"/>
      <c r="O10" s="22"/>
      <c r="P10" s="18" t="str">
        <f aca="false">IF(C10="Break","",IF(C10="Milestone",IF(N10&lt;&gt;"","Done",IF($D$4&gt;J10,"Overdue","Upcoming")),IF(N(O10)&gt;=1,"Done",IF($D$4&lt;I10,"Not started",IF($D$4&gt;J10,"Late",IF(N(O10)+0.1&lt;($D$4-I10+1)/(J10-I10+1),"Behind","On track"))))))</f>
        <v>Not started</v>
      </c>
      <c r="Q10" s="23" t="n">
        <f aca="false">IF(C10="Break","",ROUND((IF(N10&lt;&gt;"",N10,J10)-H10)/7,1))</f>
        <v>0</v>
      </c>
      <c r="R10" s="18" t="str">
        <f aca="false">IF(C10="Milestone",IF(N10&lt;&gt;"","✓",""),IF(AND(C10="Task",N(O10)&gt;=1),"✓",""))</f>
        <v/>
      </c>
      <c r="S10" s="18" t="n">
        <f aca="false">IF(C10="Task",K10*N(O10),"")</f>
        <v>0</v>
      </c>
      <c r="T10" s="24"/>
      <c r="U10" s="25" t="str">
        <f aca="false">IF($C10="Milestone",IF(AND(U$7&lt;=$I10,U$7+6&gt;=$I10),"◆",""),IF(AND($C10="Task",$M10&lt;&gt;"",U$7&lt;=IF($N10="",$D$4,$N10),U$7+6&gt;=$M10),"●",""))</f>
        <v/>
      </c>
      <c r="V10" s="25" t="str">
        <f aca="false">IF($C10="Milestone",IF(AND(V$7&lt;=$I10,V$7+6&gt;=$I10),"◆",""),IF(AND($C10="Task",$M10&lt;&gt;"",V$7&lt;=IF($N10="",$D$4,$N10),V$7+6&gt;=$M10),"●",""))</f>
        <v/>
      </c>
      <c r="W10" s="25" t="str">
        <f aca="false">IF($C10="Milestone",IF(AND(W$7&lt;=$I10,W$7+6&gt;=$I10),"◆",""),IF(AND($C10="Task",$M10&lt;&gt;"",W$7&lt;=IF($N10="",$D$4,$N10),W$7+6&gt;=$M10),"●",""))</f>
        <v/>
      </c>
      <c r="X10" s="25" t="str">
        <f aca="false">IF($C10="Milestone",IF(AND(X$7&lt;=$I10,X$7+6&gt;=$I10),"◆",""),IF(AND($C10="Task",$M10&lt;&gt;"",X$7&lt;=IF($N10="",$D$4,$N10),X$7+6&gt;=$M10),"●",""))</f>
        <v/>
      </c>
      <c r="Y10" s="25" t="str">
        <f aca="false">IF($C10="Milestone",IF(AND(Y$7&lt;=$I10,Y$7+6&gt;=$I10),"◆",""),IF(AND($C10="Task",$M10&lt;&gt;"",Y$7&lt;=IF($N10="",$D$4,$N10),Y$7+6&gt;=$M10),"●",""))</f>
        <v/>
      </c>
      <c r="Z10" s="25" t="str">
        <f aca="false">IF($C10="Milestone",IF(AND(Z$7&lt;=$I10,Z$7+6&gt;=$I10),"◆",""),IF(AND($C10="Task",$M10&lt;&gt;"",Z$7&lt;=IF($N10="",$D$4,$N10),Z$7+6&gt;=$M10),"●",""))</f>
        <v/>
      </c>
      <c r="AA10" s="25" t="str">
        <f aca="false">IF($C10="Milestone",IF(AND(AA$7&lt;=$I10,AA$7+6&gt;=$I10),"◆",""),IF(AND($C10="Task",$M10&lt;&gt;"",AA$7&lt;=IF($N10="",$D$4,$N10),AA$7+6&gt;=$M10),"●",""))</f>
        <v/>
      </c>
      <c r="AB10" s="25" t="str">
        <f aca="false">IF($C10="Milestone",IF(AND(AB$7&lt;=$I10,AB$7+6&gt;=$I10),"◆",""),IF(AND($C10="Task",$M10&lt;&gt;"",AB$7&lt;=IF($N10="",$D$4,$N10),AB$7+6&gt;=$M10),"●",""))</f>
        <v/>
      </c>
      <c r="AC10" s="25" t="str">
        <f aca="false">IF($C10="Milestone",IF(AND(AC$7&lt;=$I10,AC$7+6&gt;=$I10),"◆",""),IF(AND($C10="Task",$M10&lt;&gt;"",AC$7&lt;=IF($N10="",$D$4,$N10),AC$7+6&gt;=$M10),"●",""))</f>
        <v/>
      </c>
      <c r="AD10" s="25" t="str">
        <f aca="false">IF($C10="Milestone",IF(AND(AD$7&lt;=$I10,AD$7+6&gt;=$I10),"◆",""),IF(AND($C10="Task",$M10&lt;&gt;"",AD$7&lt;=IF($N10="",$D$4,$N10),AD$7+6&gt;=$M10),"●",""))</f>
        <v/>
      </c>
      <c r="AE10" s="25" t="str">
        <f aca="false">IF($C10="Milestone",IF(AND(AE$7&lt;=$I10,AE$7+6&gt;=$I10),"◆",""),IF(AND($C10="Task",$M10&lt;&gt;"",AE$7&lt;=IF($N10="",$D$4,$N10),AE$7+6&gt;=$M10),"●",""))</f>
        <v/>
      </c>
      <c r="AF10" s="25" t="str">
        <f aca="false">IF($C10="Milestone",IF(AND(AF$7&lt;=$I10,AF$7+6&gt;=$I10),"◆",""),IF(AND($C10="Task",$M10&lt;&gt;"",AF$7&lt;=IF($N10="",$D$4,$N10),AF$7+6&gt;=$M10),"●",""))</f>
        <v/>
      </c>
      <c r="AG10" s="25" t="str">
        <f aca="false">IF($C10="Milestone",IF(AND(AG$7&lt;=$I10,AG$7+6&gt;=$I10),"◆",""),IF(AND($C10="Task",$M10&lt;&gt;"",AG$7&lt;=IF($N10="",$D$4,$N10),AG$7+6&gt;=$M10),"●",""))</f>
        <v/>
      </c>
      <c r="AH10" s="25" t="str">
        <f aca="false">IF($C10="Milestone",IF(AND(AH$7&lt;=$I10,AH$7+6&gt;=$I10),"◆",""),IF(AND($C10="Task",$M10&lt;&gt;"",AH$7&lt;=IF($N10="",$D$4,$N10),AH$7+6&gt;=$M10),"●",""))</f>
        <v/>
      </c>
      <c r="AI10" s="25" t="str">
        <f aca="false">IF($C10="Milestone",IF(AND(AI$7&lt;=$I10,AI$7+6&gt;=$I10),"◆",""),IF(AND($C10="Task",$M10&lt;&gt;"",AI$7&lt;=IF($N10="",$D$4,$N10),AI$7+6&gt;=$M10),"●",""))</f>
        <v/>
      </c>
      <c r="AJ10" s="25" t="str">
        <f aca="false">IF($C10="Milestone",IF(AND(AJ$7&lt;=$I10,AJ$7+6&gt;=$I10),"◆",""),IF(AND($C10="Task",$M10&lt;&gt;"",AJ$7&lt;=IF($N10="",$D$4,$N10),AJ$7+6&gt;=$M10),"●",""))</f>
        <v/>
      </c>
      <c r="AK10" s="25" t="str">
        <f aca="false">IF($C10="Milestone",IF(AND(AK$7&lt;=$I10,AK$7+6&gt;=$I10),"◆",""),IF(AND($C10="Task",$M10&lt;&gt;"",AK$7&lt;=IF($N10="",$D$4,$N10),AK$7+6&gt;=$M10),"●",""))</f>
        <v/>
      </c>
      <c r="AL10" s="25" t="str">
        <f aca="false">IF($C10="Milestone",IF(AND(AL$7&lt;=$I10,AL$7+6&gt;=$I10),"◆",""),IF(AND($C10="Task",$M10&lt;&gt;"",AL$7&lt;=IF($N10="",$D$4,$N10),AL$7+6&gt;=$M10),"●",""))</f>
        <v/>
      </c>
      <c r="AM10" s="25" t="str">
        <f aca="false">IF($C10="Milestone",IF(AND(AM$7&lt;=$I10,AM$7+6&gt;=$I10),"◆",""),IF(AND($C10="Task",$M10&lt;&gt;"",AM$7&lt;=IF($N10="",$D$4,$N10),AM$7+6&gt;=$M10),"●",""))</f>
        <v/>
      </c>
      <c r="AN10" s="25" t="str">
        <f aca="false">IF($C10="Milestone",IF(AND(AN$7&lt;=$I10,AN$7+6&gt;=$I10),"◆",""),IF(AND($C10="Task",$M10&lt;&gt;"",AN$7&lt;=IF($N10="",$D$4,$N10),AN$7+6&gt;=$M10),"●",""))</f>
        <v/>
      </c>
      <c r="AO10" s="25" t="str">
        <f aca="false">IF($C10="Milestone",IF(AND(AO$7&lt;=$I10,AO$7+6&gt;=$I10),"◆",""),IF(AND($C10="Task",$M10&lt;&gt;"",AO$7&lt;=IF($N10="",$D$4,$N10),AO$7+6&gt;=$M10),"●",""))</f>
        <v/>
      </c>
      <c r="AP10" s="25" t="str">
        <f aca="false">IF($C10="Milestone",IF(AND(AP$7&lt;=$I10,AP$7+6&gt;=$I10),"◆",""),IF(AND($C10="Task",$M10&lt;&gt;"",AP$7&lt;=IF($N10="",$D$4,$N10),AP$7+6&gt;=$M10),"●",""))</f>
        <v/>
      </c>
      <c r="AQ10" s="25" t="str">
        <f aca="false">IF($C10="Milestone",IF(AND(AQ$7&lt;=$I10,AQ$7+6&gt;=$I10),"◆",""),IF(AND($C10="Task",$M10&lt;&gt;"",AQ$7&lt;=IF($N10="",$D$4,$N10),AQ$7+6&gt;=$M10),"●",""))</f>
        <v/>
      </c>
      <c r="AR10" s="25" t="str">
        <f aca="false">IF($C10="Milestone",IF(AND(AR$7&lt;=$I10,AR$7+6&gt;=$I10),"◆",""),IF(AND($C10="Task",$M10&lt;&gt;"",AR$7&lt;=IF($N10="",$D$4,$N10),AR$7+6&gt;=$M10),"●",""))</f>
        <v/>
      </c>
      <c r="AS10" s="25" t="str">
        <f aca="false">IF($C10="Milestone",IF(AND(AS$7&lt;=$I10,AS$7+6&gt;=$I10),"◆",""),IF(AND($C10="Task",$M10&lt;&gt;"",AS$7&lt;=IF($N10="",$D$4,$N10),AS$7+6&gt;=$M10),"●",""))</f>
        <v/>
      </c>
      <c r="AT10" s="25" t="str">
        <f aca="false">IF($C10="Milestone",IF(AND(AT$7&lt;=$I10,AT$7+6&gt;=$I10),"◆",""),IF(AND($C10="Task",$M10&lt;&gt;"",AT$7&lt;=IF($N10="",$D$4,$N10),AT$7+6&gt;=$M10),"●",""))</f>
        <v/>
      </c>
      <c r="AU10" s="25" t="str">
        <f aca="false">IF($C10="Milestone",IF(AND(AU$7&lt;=$I10,AU$7+6&gt;=$I10),"◆",""),IF(AND($C10="Task",$M10&lt;&gt;"",AU$7&lt;=IF($N10="",$D$4,$N10),AU$7+6&gt;=$M10),"●",""))</f>
        <v/>
      </c>
      <c r="AV10" s="25" t="str">
        <f aca="false">IF($C10="Milestone",IF(AND(AV$7&lt;=$I10,AV$7+6&gt;=$I10),"◆",""),IF(AND($C10="Task",$M10&lt;&gt;"",AV$7&lt;=IF($N10="",$D$4,$N10),AV$7+6&gt;=$M10),"●",""))</f>
        <v/>
      </c>
      <c r="AW10" s="25" t="str">
        <f aca="false">IF($C10="Milestone",IF(AND(AW$7&lt;=$I10,AW$7+6&gt;=$I10),"◆",""),IF(AND($C10="Task",$M10&lt;&gt;"",AW$7&lt;=IF($N10="",$D$4,$N10),AW$7+6&gt;=$M10),"●",""))</f>
        <v/>
      </c>
      <c r="AX10" s="25" t="str">
        <f aca="false">IF($C10="Milestone",IF(AND(AX$7&lt;=$I10,AX$7+6&gt;=$I10),"◆",""),IF(AND($C10="Task",$M10&lt;&gt;"",AX$7&lt;=IF($N10="",$D$4,$N10),AX$7+6&gt;=$M10),"●",""))</f>
        <v/>
      </c>
      <c r="AY10" s="25" t="str">
        <f aca="false">IF($C10="Milestone",IF(AND(AY$7&lt;=$I10,AY$7+6&gt;=$I10),"◆",""),IF(AND($C10="Task",$M10&lt;&gt;"",AY$7&lt;=IF($N10="",$D$4,$N10),AY$7+6&gt;=$M10),"●",""))</f>
        <v/>
      </c>
      <c r="AZ10" s="25" t="str">
        <f aca="false">IF($C10="Milestone",IF(AND(AZ$7&lt;=$I10,AZ$7+6&gt;=$I10),"◆",""),IF(AND($C10="Task",$M10&lt;&gt;"",AZ$7&lt;=IF($N10="",$D$4,$N10),AZ$7+6&gt;=$M10),"●",""))</f>
        <v/>
      </c>
    </row>
    <row r="11" customFormat="false" ht="18" hidden="false" customHeight="true" outlineLevel="0" collapsed="false">
      <c r="A11" s="18" t="s">
        <v>48</v>
      </c>
      <c r="B11" s="19" t="s">
        <v>49</v>
      </c>
      <c r="C11" s="18" t="s">
        <v>20</v>
      </c>
      <c r="D11" s="18"/>
      <c r="E11" s="18"/>
      <c r="F11" s="18" t="s">
        <v>50</v>
      </c>
      <c r="G11" s="20" t="n">
        <v>46321</v>
      </c>
      <c r="H11" s="20" t="n">
        <v>46325</v>
      </c>
      <c r="I11" s="21" t="n">
        <v>46314</v>
      </c>
      <c r="J11" s="21" t="n">
        <v>46325</v>
      </c>
      <c r="K11" s="18" t="n">
        <f aca="false">IF(C11="Task",ROUND((J11-I11+3)/7,0),"")</f>
        <v>2</v>
      </c>
      <c r="L11" s="18" t="n">
        <v>0</v>
      </c>
      <c r="M11" s="21"/>
      <c r="N11" s="21"/>
      <c r="O11" s="22"/>
      <c r="P11" s="18" t="str">
        <f aca="false">IF(C11="Break","",IF(C11="Milestone",IF(N11&lt;&gt;"","Done",IF($D$4&gt;J11,"Overdue","Upcoming")),IF(N(O11)&gt;=1,"Done",IF($D$4&lt;I11,"Not started",IF($D$4&gt;J11,"Late",IF(N(O11)+0.1&lt;($D$4-I11+1)/(J11-I11+1),"Behind","On track"))))))</f>
        <v>Behind</v>
      </c>
      <c r="Q11" s="23" t="n">
        <f aca="false">IF(C11="Break","",ROUND((IF(N11&lt;&gt;"",N11,J11)-H11)/7,1))</f>
        <v>0</v>
      </c>
      <c r="R11" s="18" t="str">
        <f aca="false">IF(C11="Milestone",IF(N11&lt;&gt;"","✓",""),IF(AND(C11="Task",N(O11)&gt;=1),"✓",""))</f>
        <v/>
      </c>
      <c r="S11" s="18" t="n">
        <f aca="false">IF(C11="Task",K11*N(O11),"")</f>
        <v>0</v>
      </c>
      <c r="T11" s="24"/>
      <c r="U11" s="25" t="str">
        <f aca="false">IF($C11="Milestone",IF(AND(U$7&lt;=$I11,U$7+6&gt;=$I11),"◆",""),IF(AND($C11="Task",$M11&lt;&gt;"",U$7&lt;=IF($N11="",$D$4,$N11),U$7+6&gt;=$M11),"●",""))</f>
        <v/>
      </c>
      <c r="V11" s="25" t="str">
        <f aca="false">IF($C11="Milestone",IF(AND(V$7&lt;=$I11,V$7+6&gt;=$I11),"◆",""),IF(AND($C11="Task",$M11&lt;&gt;"",V$7&lt;=IF($N11="",$D$4,$N11),V$7+6&gt;=$M11),"●",""))</f>
        <v/>
      </c>
      <c r="W11" s="25" t="str">
        <f aca="false">IF($C11="Milestone",IF(AND(W$7&lt;=$I11,W$7+6&gt;=$I11),"◆",""),IF(AND($C11="Task",$M11&lt;&gt;"",W$7&lt;=IF($N11="",$D$4,$N11),W$7+6&gt;=$M11),"●",""))</f>
        <v/>
      </c>
      <c r="X11" s="25" t="str">
        <f aca="false">IF($C11="Milestone",IF(AND(X$7&lt;=$I11,X$7+6&gt;=$I11),"◆",""),IF(AND($C11="Task",$M11&lt;&gt;"",X$7&lt;=IF($N11="",$D$4,$N11),X$7+6&gt;=$M11),"●",""))</f>
        <v/>
      </c>
      <c r="Y11" s="25" t="str">
        <f aca="false">IF($C11="Milestone",IF(AND(Y$7&lt;=$I11,Y$7+6&gt;=$I11),"◆",""),IF(AND($C11="Task",$M11&lt;&gt;"",Y$7&lt;=IF($N11="",$D$4,$N11),Y$7+6&gt;=$M11),"●",""))</f>
        <v/>
      </c>
      <c r="Z11" s="25" t="str">
        <f aca="false">IF($C11="Milestone",IF(AND(Z$7&lt;=$I11,Z$7+6&gt;=$I11),"◆",""),IF(AND($C11="Task",$M11&lt;&gt;"",Z$7&lt;=IF($N11="",$D$4,$N11),Z$7+6&gt;=$M11),"●",""))</f>
        <v/>
      </c>
      <c r="AA11" s="25" t="str">
        <f aca="false">IF($C11="Milestone",IF(AND(AA$7&lt;=$I11,AA$7+6&gt;=$I11),"◆",""),IF(AND($C11="Task",$M11&lt;&gt;"",AA$7&lt;=IF($N11="",$D$4,$N11),AA$7+6&gt;=$M11),"●",""))</f>
        <v/>
      </c>
      <c r="AB11" s="25" t="str">
        <f aca="false">IF($C11="Milestone",IF(AND(AB$7&lt;=$I11,AB$7+6&gt;=$I11),"◆",""),IF(AND($C11="Task",$M11&lt;&gt;"",AB$7&lt;=IF($N11="",$D$4,$N11),AB$7+6&gt;=$M11),"●",""))</f>
        <v/>
      </c>
      <c r="AC11" s="25" t="str">
        <f aca="false">IF($C11="Milestone",IF(AND(AC$7&lt;=$I11,AC$7+6&gt;=$I11),"◆",""),IF(AND($C11="Task",$M11&lt;&gt;"",AC$7&lt;=IF($N11="",$D$4,$N11),AC$7+6&gt;=$M11),"●",""))</f>
        <v/>
      </c>
      <c r="AD11" s="25" t="str">
        <f aca="false">IF($C11="Milestone",IF(AND(AD$7&lt;=$I11,AD$7+6&gt;=$I11),"◆",""),IF(AND($C11="Task",$M11&lt;&gt;"",AD$7&lt;=IF($N11="",$D$4,$N11),AD$7+6&gt;=$M11),"●",""))</f>
        <v/>
      </c>
      <c r="AE11" s="25" t="str">
        <f aca="false">IF($C11="Milestone",IF(AND(AE$7&lt;=$I11,AE$7+6&gt;=$I11),"◆",""),IF(AND($C11="Task",$M11&lt;&gt;"",AE$7&lt;=IF($N11="",$D$4,$N11),AE$7+6&gt;=$M11),"●",""))</f>
        <v/>
      </c>
      <c r="AF11" s="25" t="str">
        <f aca="false">IF($C11="Milestone",IF(AND(AF$7&lt;=$I11,AF$7+6&gt;=$I11),"◆",""),IF(AND($C11="Task",$M11&lt;&gt;"",AF$7&lt;=IF($N11="",$D$4,$N11),AF$7+6&gt;=$M11),"●",""))</f>
        <v/>
      </c>
      <c r="AG11" s="25" t="str">
        <f aca="false">IF($C11="Milestone",IF(AND(AG$7&lt;=$I11,AG$7+6&gt;=$I11),"◆",""),IF(AND($C11="Task",$M11&lt;&gt;"",AG$7&lt;=IF($N11="",$D$4,$N11),AG$7+6&gt;=$M11),"●",""))</f>
        <v/>
      </c>
      <c r="AH11" s="25" t="str">
        <f aca="false">IF($C11="Milestone",IF(AND(AH$7&lt;=$I11,AH$7+6&gt;=$I11),"◆",""),IF(AND($C11="Task",$M11&lt;&gt;"",AH$7&lt;=IF($N11="",$D$4,$N11),AH$7+6&gt;=$M11),"●",""))</f>
        <v/>
      </c>
      <c r="AI11" s="25" t="str">
        <f aca="false">IF($C11="Milestone",IF(AND(AI$7&lt;=$I11,AI$7+6&gt;=$I11),"◆",""),IF(AND($C11="Task",$M11&lt;&gt;"",AI$7&lt;=IF($N11="",$D$4,$N11),AI$7+6&gt;=$M11),"●",""))</f>
        <v/>
      </c>
      <c r="AJ11" s="25" t="str">
        <f aca="false">IF($C11="Milestone",IF(AND(AJ$7&lt;=$I11,AJ$7+6&gt;=$I11),"◆",""),IF(AND($C11="Task",$M11&lt;&gt;"",AJ$7&lt;=IF($N11="",$D$4,$N11),AJ$7+6&gt;=$M11),"●",""))</f>
        <v/>
      </c>
      <c r="AK11" s="25" t="str">
        <f aca="false">IF($C11="Milestone",IF(AND(AK$7&lt;=$I11,AK$7+6&gt;=$I11),"◆",""),IF(AND($C11="Task",$M11&lt;&gt;"",AK$7&lt;=IF($N11="",$D$4,$N11),AK$7+6&gt;=$M11),"●",""))</f>
        <v/>
      </c>
      <c r="AL11" s="25" t="str">
        <f aca="false">IF($C11="Milestone",IF(AND(AL$7&lt;=$I11,AL$7+6&gt;=$I11),"◆",""),IF(AND($C11="Task",$M11&lt;&gt;"",AL$7&lt;=IF($N11="",$D$4,$N11),AL$7+6&gt;=$M11),"●",""))</f>
        <v/>
      </c>
      <c r="AM11" s="25" t="str">
        <f aca="false">IF($C11="Milestone",IF(AND(AM$7&lt;=$I11,AM$7+6&gt;=$I11),"◆",""),IF(AND($C11="Task",$M11&lt;&gt;"",AM$7&lt;=IF($N11="",$D$4,$N11),AM$7+6&gt;=$M11),"●",""))</f>
        <v/>
      </c>
      <c r="AN11" s="25" t="str">
        <f aca="false">IF($C11="Milestone",IF(AND(AN$7&lt;=$I11,AN$7+6&gt;=$I11),"◆",""),IF(AND($C11="Task",$M11&lt;&gt;"",AN$7&lt;=IF($N11="",$D$4,$N11),AN$7+6&gt;=$M11),"●",""))</f>
        <v/>
      </c>
      <c r="AO11" s="25" t="str">
        <f aca="false">IF($C11="Milestone",IF(AND(AO$7&lt;=$I11,AO$7+6&gt;=$I11),"◆",""),IF(AND($C11="Task",$M11&lt;&gt;"",AO$7&lt;=IF($N11="",$D$4,$N11),AO$7+6&gt;=$M11),"●",""))</f>
        <v/>
      </c>
      <c r="AP11" s="25" t="str">
        <f aca="false">IF($C11="Milestone",IF(AND(AP$7&lt;=$I11,AP$7+6&gt;=$I11),"◆",""),IF(AND($C11="Task",$M11&lt;&gt;"",AP$7&lt;=IF($N11="",$D$4,$N11),AP$7+6&gt;=$M11),"●",""))</f>
        <v/>
      </c>
      <c r="AQ11" s="25" t="str">
        <f aca="false">IF($C11="Milestone",IF(AND(AQ$7&lt;=$I11,AQ$7+6&gt;=$I11),"◆",""),IF(AND($C11="Task",$M11&lt;&gt;"",AQ$7&lt;=IF($N11="",$D$4,$N11),AQ$7+6&gt;=$M11),"●",""))</f>
        <v/>
      </c>
      <c r="AR11" s="25" t="str">
        <f aca="false">IF($C11="Milestone",IF(AND(AR$7&lt;=$I11,AR$7+6&gt;=$I11),"◆",""),IF(AND($C11="Task",$M11&lt;&gt;"",AR$7&lt;=IF($N11="",$D$4,$N11),AR$7+6&gt;=$M11),"●",""))</f>
        <v/>
      </c>
      <c r="AS11" s="25" t="str">
        <f aca="false">IF($C11="Milestone",IF(AND(AS$7&lt;=$I11,AS$7+6&gt;=$I11),"◆",""),IF(AND($C11="Task",$M11&lt;&gt;"",AS$7&lt;=IF($N11="",$D$4,$N11),AS$7+6&gt;=$M11),"●",""))</f>
        <v/>
      </c>
      <c r="AT11" s="25" t="str">
        <f aca="false">IF($C11="Milestone",IF(AND(AT$7&lt;=$I11,AT$7+6&gt;=$I11),"◆",""),IF(AND($C11="Task",$M11&lt;&gt;"",AT$7&lt;=IF($N11="",$D$4,$N11),AT$7+6&gt;=$M11),"●",""))</f>
        <v/>
      </c>
      <c r="AU11" s="25" t="str">
        <f aca="false">IF($C11="Milestone",IF(AND(AU$7&lt;=$I11,AU$7+6&gt;=$I11),"◆",""),IF(AND($C11="Task",$M11&lt;&gt;"",AU$7&lt;=IF($N11="",$D$4,$N11),AU$7+6&gt;=$M11),"●",""))</f>
        <v/>
      </c>
      <c r="AV11" s="25" t="str">
        <f aca="false">IF($C11="Milestone",IF(AND(AV$7&lt;=$I11,AV$7+6&gt;=$I11),"◆",""),IF(AND($C11="Task",$M11&lt;&gt;"",AV$7&lt;=IF($N11="",$D$4,$N11),AV$7+6&gt;=$M11),"●",""))</f>
        <v/>
      </c>
      <c r="AW11" s="25" t="str">
        <f aca="false">IF($C11="Milestone",IF(AND(AW$7&lt;=$I11,AW$7+6&gt;=$I11),"◆",""),IF(AND($C11="Task",$M11&lt;&gt;"",AW$7&lt;=IF($N11="",$D$4,$N11),AW$7+6&gt;=$M11),"●",""))</f>
        <v/>
      </c>
      <c r="AX11" s="25" t="str">
        <f aca="false">IF($C11="Milestone",IF(AND(AX$7&lt;=$I11,AX$7+6&gt;=$I11),"◆",""),IF(AND($C11="Task",$M11&lt;&gt;"",AX$7&lt;=IF($N11="",$D$4,$N11),AX$7+6&gt;=$M11),"●",""))</f>
        <v/>
      </c>
      <c r="AY11" s="25" t="str">
        <f aca="false">IF($C11="Milestone",IF(AND(AY$7&lt;=$I11,AY$7+6&gt;=$I11),"◆",""),IF(AND($C11="Task",$M11&lt;&gt;"",AY$7&lt;=IF($N11="",$D$4,$N11),AY$7+6&gt;=$M11),"●",""))</f>
        <v/>
      </c>
      <c r="AZ11" s="25" t="str">
        <f aca="false">IF($C11="Milestone",IF(AND(AZ$7&lt;=$I11,AZ$7+6&gt;=$I11),"◆",""),IF(AND($C11="Task",$M11&lt;&gt;"",AZ$7&lt;=IF($N11="",$D$4,$N11),AZ$7+6&gt;=$M11),"●",""))</f>
        <v/>
      </c>
    </row>
    <row r="12" customFormat="false" ht="18" hidden="false" customHeight="true" outlineLevel="0" collapsed="false">
      <c r="A12" s="18" t="s">
        <v>51</v>
      </c>
      <c r="B12" s="19" t="s">
        <v>52</v>
      </c>
      <c r="C12" s="18" t="s">
        <v>20</v>
      </c>
      <c r="D12" s="18"/>
      <c r="E12" s="18"/>
      <c r="F12" s="18" t="s">
        <v>50</v>
      </c>
      <c r="G12" s="20" t="n">
        <v>46321</v>
      </c>
      <c r="H12" s="20" t="n">
        <v>46325</v>
      </c>
      <c r="I12" s="21" t="n">
        <v>46314</v>
      </c>
      <c r="J12" s="21" t="n">
        <v>46325</v>
      </c>
      <c r="K12" s="18" t="n">
        <f aca="false">IF(C12="Task",ROUND((J12-I12+3)/7,0),"")</f>
        <v>2</v>
      </c>
      <c r="L12" s="18" t="n">
        <v>1</v>
      </c>
      <c r="M12" s="21"/>
      <c r="N12" s="21"/>
      <c r="O12" s="22"/>
      <c r="P12" s="18" t="str">
        <f aca="false">IF(C12="Break","",IF(C12="Milestone",IF(N12&lt;&gt;"","Done",IF($D$4&gt;J12,"Overdue","Upcoming")),IF(N(O12)&gt;=1,"Done",IF($D$4&lt;I12,"Not started",IF($D$4&gt;J12,"Late",IF(N(O12)+0.1&lt;($D$4-I12+1)/(J12-I12+1),"Behind","On track"))))))</f>
        <v>Behind</v>
      </c>
      <c r="Q12" s="23" t="n">
        <f aca="false">IF(C12="Break","",ROUND((IF(N12&lt;&gt;"",N12,J12)-H12)/7,1))</f>
        <v>0</v>
      </c>
      <c r="R12" s="18" t="str">
        <f aca="false">IF(C12="Milestone",IF(N12&lt;&gt;"","✓",""),IF(AND(C12="Task",N(O12)&gt;=1),"✓",""))</f>
        <v/>
      </c>
      <c r="S12" s="18" t="n">
        <f aca="false">IF(C12="Task",K12*N(O12),"")</f>
        <v>0</v>
      </c>
      <c r="T12" s="24"/>
      <c r="U12" s="25" t="str">
        <f aca="false">IF($C12="Milestone",IF(AND(U$7&lt;=$I12,U$7+6&gt;=$I12),"◆",""),IF(AND($C12="Task",$M12&lt;&gt;"",U$7&lt;=IF($N12="",$D$4,$N12),U$7+6&gt;=$M12),"●",""))</f>
        <v/>
      </c>
      <c r="V12" s="25" t="str">
        <f aca="false">IF($C12="Milestone",IF(AND(V$7&lt;=$I12,V$7+6&gt;=$I12),"◆",""),IF(AND($C12="Task",$M12&lt;&gt;"",V$7&lt;=IF($N12="",$D$4,$N12),V$7+6&gt;=$M12),"●",""))</f>
        <v/>
      </c>
      <c r="W12" s="25" t="str">
        <f aca="false">IF($C12="Milestone",IF(AND(W$7&lt;=$I12,W$7+6&gt;=$I12),"◆",""),IF(AND($C12="Task",$M12&lt;&gt;"",W$7&lt;=IF($N12="",$D$4,$N12),W$7+6&gt;=$M12),"●",""))</f>
        <v/>
      </c>
      <c r="X12" s="25" t="str">
        <f aca="false">IF($C12="Milestone",IF(AND(X$7&lt;=$I12,X$7+6&gt;=$I12),"◆",""),IF(AND($C12="Task",$M12&lt;&gt;"",X$7&lt;=IF($N12="",$D$4,$N12),X$7+6&gt;=$M12),"●",""))</f>
        <v/>
      </c>
      <c r="Y12" s="25" t="str">
        <f aca="false">IF($C12="Milestone",IF(AND(Y$7&lt;=$I12,Y$7+6&gt;=$I12),"◆",""),IF(AND($C12="Task",$M12&lt;&gt;"",Y$7&lt;=IF($N12="",$D$4,$N12),Y$7+6&gt;=$M12),"●",""))</f>
        <v/>
      </c>
      <c r="Z12" s="25" t="str">
        <f aca="false">IF($C12="Milestone",IF(AND(Z$7&lt;=$I12,Z$7+6&gt;=$I12),"◆",""),IF(AND($C12="Task",$M12&lt;&gt;"",Z$7&lt;=IF($N12="",$D$4,$N12),Z$7+6&gt;=$M12),"●",""))</f>
        <v/>
      </c>
      <c r="AA12" s="25" t="str">
        <f aca="false">IF($C12="Milestone",IF(AND(AA$7&lt;=$I12,AA$7+6&gt;=$I12),"◆",""),IF(AND($C12="Task",$M12&lt;&gt;"",AA$7&lt;=IF($N12="",$D$4,$N12),AA$7+6&gt;=$M12),"●",""))</f>
        <v/>
      </c>
      <c r="AB12" s="25" t="str">
        <f aca="false">IF($C12="Milestone",IF(AND(AB$7&lt;=$I12,AB$7+6&gt;=$I12),"◆",""),IF(AND($C12="Task",$M12&lt;&gt;"",AB$7&lt;=IF($N12="",$D$4,$N12),AB$7+6&gt;=$M12),"●",""))</f>
        <v/>
      </c>
      <c r="AC12" s="25" t="str">
        <f aca="false">IF($C12="Milestone",IF(AND(AC$7&lt;=$I12,AC$7+6&gt;=$I12),"◆",""),IF(AND($C12="Task",$M12&lt;&gt;"",AC$7&lt;=IF($N12="",$D$4,$N12),AC$7+6&gt;=$M12),"●",""))</f>
        <v/>
      </c>
      <c r="AD12" s="25" t="str">
        <f aca="false">IF($C12="Milestone",IF(AND(AD$7&lt;=$I12,AD$7+6&gt;=$I12),"◆",""),IF(AND($C12="Task",$M12&lt;&gt;"",AD$7&lt;=IF($N12="",$D$4,$N12),AD$7+6&gt;=$M12),"●",""))</f>
        <v/>
      </c>
      <c r="AE12" s="25" t="str">
        <f aca="false">IF($C12="Milestone",IF(AND(AE$7&lt;=$I12,AE$7+6&gt;=$I12),"◆",""),IF(AND($C12="Task",$M12&lt;&gt;"",AE$7&lt;=IF($N12="",$D$4,$N12),AE$7+6&gt;=$M12),"●",""))</f>
        <v/>
      </c>
      <c r="AF12" s="25" t="str">
        <f aca="false">IF($C12="Milestone",IF(AND(AF$7&lt;=$I12,AF$7+6&gt;=$I12),"◆",""),IF(AND($C12="Task",$M12&lt;&gt;"",AF$7&lt;=IF($N12="",$D$4,$N12),AF$7+6&gt;=$M12),"●",""))</f>
        <v/>
      </c>
      <c r="AG12" s="25" t="str">
        <f aca="false">IF($C12="Milestone",IF(AND(AG$7&lt;=$I12,AG$7+6&gt;=$I12),"◆",""),IF(AND($C12="Task",$M12&lt;&gt;"",AG$7&lt;=IF($N12="",$D$4,$N12),AG$7+6&gt;=$M12),"●",""))</f>
        <v/>
      </c>
      <c r="AH12" s="25" t="str">
        <f aca="false">IF($C12="Milestone",IF(AND(AH$7&lt;=$I12,AH$7+6&gt;=$I12),"◆",""),IF(AND($C12="Task",$M12&lt;&gt;"",AH$7&lt;=IF($N12="",$D$4,$N12),AH$7+6&gt;=$M12),"●",""))</f>
        <v/>
      </c>
      <c r="AI12" s="25" t="str">
        <f aca="false">IF($C12="Milestone",IF(AND(AI$7&lt;=$I12,AI$7+6&gt;=$I12),"◆",""),IF(AND($C12="Task",$M12&lt;&gt;"",AI$7&lt;=IF($N12="",$D$4,$N12),AI$7+6&gt;=$M12),"●",""))</f>
        <v/>
      </c>
      <c r="AJ12" s="25" t="str">
        <f aca="false">IF($C12="Milestone",IF(AND(AJ$7&lt;=$I12,AJ$7+6&gt;=$I12),"◆",""),IF(AND($C12="Task",$M12&lt;&gt;"",AJ$7&lt;=IF($N12="",$D$4,$N12),AJ$7+6&gt;=$M12),"●",""))</f>
        <v/>
      </c>
      <c r="AK12" s="25" t="str">
        <f aca="false">IF($C12="Milestone",IF(AND(AK$7&lt;=$I12,AK$7+6&gt;=$I12),"◆",""),IF(AND($C12="Task",$M12&lt;&gt;"",AK$7&lt;=IF($N12="",$D$4,$N12),AK$7+6&gt;=$M12),"●",""))</f>
        <v/>
      </c>
      <c r="AL12" s="25" t="str">
        <f aca="false">IF($C12="Milestone",IF(AND(AL$7&lt;=$I12,AL$7+6&gt;=$I12),"◆",""),IF(AND($C12="Task",$M12&lt;&gt;"",AL$7&lt;=IF($N12="",$D$4,$N12),AL$7+6&gt;=$M12),"●",""))</f>
        <v/>
      </c>
      <c r="AM12" s="25" t="str">
        <f aca="false">IF($C12="Milestone",IF(AND(AM$7&lt;=$I12,AM$7+6&gt;=$I12),"◆",""),IF(AND($C12="Task",$M12&lt;&gt;"",AM$7&lt;=IF($N12="",$D$4,$N12),AM$7+6&gt;=$M12),"●",""))</f>
        <v/>
      </c>
      <c r="AN12" s="25" t="str">
        <f aca="false">IF($C12="Milestone",IF(AND(AN$7&lt;=$I12,AN$7+6&gt;=$I12),"◆",""),IF(AND($C12="Task",$M12&lt;&gt;"",AN$7&lt;=IF($N12="",$D$4,$N12),AN$7+6&gt;=$M12),"●",""))</f>
        <v/>
      </c>
      <c r="AO12" s="25" t="str">
        <f aca="false">IF($C12="Milestone",IF(AND(AO$7&lt;=$I12,AO$7+6&gt;=$I12),"◆",""),IF(AND($C12="Task",$M12&lt;&gt;"",AO$7&lt;=IF($N12="",$D$4,$N12),AO$7+6&gt;=$M12),"●",""))</f>
        <v/>
      </c>
      <c r="AP12" s="25" t="str">
        <f aca="false">IF($C12="Milestone",IF(AND(AP$7&lt;=$I12,AP$7+6&gt;=$I12),"◆",""),IF(AND($C12="Task",$M12&lt;&gt;"",AP$7&lt;=IF($N12="",$D$4,$N12),AP$7+6&gt;=$M12),"●",""))</f>
        <v/>
      </c>
      <c r="AQ12" s="25" t="str">
        <f aca="false">IF($C12="Milestone",IF(AND(AQ$7&lt;=$I12,AQ$7+6&gt;=$I12),"◆",""),IF(AND($C12="Task",$M12&lt;&gt;"",AQ$7&lt;=IF($N12="",$D$4,$N12),AQ$7+6&gt;=$M12),"●",""))</f>
        <v/>
      </c>
      <c r="AR12" s="25" t="str">
        <f aca="false">IF($C12="Milestone",IF(AND(AR$7&lt;=$I12,AR$7+6&gt;=$I12),"◆",""),IF(AND($C12="Task",$M12&lt;&gt;"",AR$7&lt;=IF($N12="",$D$4,$N12),AR$7+6&gt;=$M12),"●",""))</f>
        <v/>
      </c>
      <c r="AS12" s="25" t="str">
        <f aca="false">IF($C12="Milestone",IF(AND(AS$7&lt;=$I12,AS$7+6&gt;=$I12),"◆",""),IF(AND($C12="Task",$M12&lt;&gt;"",AS$7&lt;=IF($N12="",$D$4,$N12),AS$7+6&gt;=$M12),"●",""))</f>
        <v/>
      </c>
      <c r="AT12" s="25" t="str">
        <f aca="false">IF($C12="Milestone",IF(AND(AT$7&lt;=$I12,AT$7+6&gt;=$I12),"◆",""),IF(AND($C12="Task",$M12&lt;&gt;"",AT$7&lt;=IF($N12="",$D$4,$N12),AT$7+6&gt;=$M12),"●",""))</f>
        <v/>
      </c>
      <c r="AU12" s="25" t="str">
        <f aca="false">IF($C12="Milestone",IF(AND(AU$7&lt;=$I12,AU$7+6&gt;=$I12),"◆",""),IF(AND($C12="Task",$M12&lt;&gt;"",AU$7&lt;=IF($N12="",$D$4,$N12),AU$7+6&gt;=$M12),"●",""))</f>
        <v/>
      </c>
      <c r="AV12" s="25" t="str">
        <f aca="false">IF($C12="Milestone",IF(AND(AV$7&lt;=$I12,AV$7+6&gt;=$I12),"◆",""),IF(AND($C12="Task",$M12&lt;&gt;"",AV$7&lt;=IF($N12="",$D$4,$N12),AV$7+6&gt;=$M12),"●",""))</f>
        <v/>
      </c>
      <c r="AW12" s="25" t="str">
        <f aca="false">IF($C12="Milestone",IF(AND(AW$7&lt;=$I12,AW$7+6&gt;=$I12),"◆",""),IF(AND($C12="Task",$M12&lt;&gt;"",AW$7&lt;=IF($N12="",$D$4,$N12),AW$7+6&gt;=$M12),"●",""))</f>
        <v/>
      </c>
      <c r="AX12" s="25" t="str">
        <f aca="false">IF($C12="Milestone",IF(AND(AX$7&lt;=$I12,AX$7+6&gt;=$I12),"◆",""),IF(AND($C12="Task",$M12&lt;&gt;"",AX$7&lt;=IF($N12="",$D$4,$N12),AX$7+6&gt;=$M12),"●",""))</f>
        <v/>
      </c>
      <c r="AY12" s="25" t="str">
        <f aca="false">IF($C12="Milestone",IF(AND(AY$7&lt;=$I12,AY$7+6&gt;=$I12),"◆",""),IF(AND($C12="Task",$M12&lt;&gt;"",AY$7&lt;=IF($N12="",$D$4,$N12),AY$7+6&gt;=$M12),"●",""))</f>
        <v/>
      </c>
      <c r="AZ12" s="25" t="str">
        <f aca="false">IF($C12="Milestone",IF(AND(AZ$7&lt;=$I12,AZ$7+6&gt;=$I12),"◆",""),IF(AND($C12="Task",$M12&lt;&gt;"",AZ$7&lt;=IF($N12="",$D$4,$N12),AZ$7+6&gt;=$M12),"●",""))</f>
        <v/>
      </c>
    </row>
    <row r="13" customFormat="false" ht="18" hidden="false" customHeight="true" outlineLevel="0" collapsed="false">
      <c r="A13" s="18" t="s">
        <v>53</v>
      </c>
      <c r="B13" s="19" t="s">
        <v>54</v>
      </c>
      <c r="C13" s="18" t="s">
        <v>20</v>
      </c>
      <c r="D13" s="18"/>
      <c r="E13" s="18"/>
      <c r="F13" s="18" t="s">
        <v>50</v>
      </c>
      <c r="G13" s="20" t="n">
        <v>46314</v>
      </c>
      <c r="H13" s="20" t="n">
        <v>46374</v>
      </c>
      <c r="I13" s="21" t="n">
        <v>46314</v>
      </c>
      <c r="J13" s="21" t="n">
        <v>46374</v>
      </c>
      <c r="K13" s="18" t="n">
        <f aca="false">IF(C13="Task",ROUND((J13-I13+3)/7,0),"")</f>
        <v>9</v>
      </c>
      <c r="L13" s="18" t="n">
        <v>0</v>
      </c>
      <c r="M13" s="21"/>
      <c r="N13" s="21"/>
      <c r="O13" s="22"/>
      <c r="P13" s="18" t="str">
        <f aca="false">IF(C13="Break","",IF(C13="Milestone",IF(N13&lt;&gt;"","Done",IF($D$4&gt;J13,"Overdue","Upcoming")),IF(N(O13)&gt;=1,"Done",IF($D$4&lt;I13,"Not started",IF($D$4&gt;J13,"Late",IF(N(O13)+0.1&lt;($D$4-I13+1)/(J13-I13+1),"Behind","On track"))))))</f>
        <v>On track</v>
      </c>
      <c r="Q13" s="23" t="n">
        <f aca="false">IF(C13="Break","",ROUND((IF(N13&lt;&gt;"",N13,J13)-H13)/7,1))</f>
        <v>0</v>
      </c>
      <c r="R13" s="18" t="str">
        <f aca="false">IF(C13="Milestone",IF(N13&lt;&gt;"","✓",""),IF(AND(C13="Task",N(O13)&gt;=1),"✓",""))</f>
        <v/>
      </c>
      <c r="S13" s="18" t="n">
        <f aca="false">IF(C13="Task",K13*N(O13),"")</f>
        <v>0</v>
      </c>
      <c r="T13" s="24"/>
      <c r="U13" s="25" t="str">
        <f aca="false">IF($C13="Milestone",IF(AND(U$7&lt;=$I13,U$7+6&gt;=$I13),"◆",""),IF(AND($C13="Task",$M13&lt;&gt;"",U$7&lt;=IF($N13="",$D$4,$N13),U$7+6&gt;=$M13),"●",""))</f>
        <v/>
      </c>
      <c r="V13" s="25" t="str">
        <f aca="false">IF($C13="Milestone",IF(AND(V$7&lt;=$I13,V$7+6&gt;=$I13),"◆",""),IF(AND($C13="Task",$M13&lt;&gt;"",V$7&lt;=IF($N13="",$D$4,$N13),V$7+6&gt;=$M13),"●",""))</f>
        <v/>
      </c>
      <c r="W13" s="25" t="str">
        <f aca="false">IF($C13="Milestone",IF(AND(W$7&lt;=$I13,W$7+6&gt;=$I13),"◆",""),IF(AND($C13="Task",$M13&lt;&gt;"",W$7&lt;=IF($N13="",$D$4,$N13),W$7+6&gt;=$M13),"●",""))</f>
        <v/>
      </c>
      <c r="X13" s="25" t="str">
        <f aca="false">IF($C13="Milestone",IF(AND(X$7&lt;=$I13,X$7+6&gt;=$I13),"◆",""),IF(AND($C13="Task",$M13&lt;&gt;"",X$7&lt;=IF($N13="",$D$4,$N13),X$7+6&gt;=$M13),"●",""))</f>
        <v/>
      </c>
      <c r="Y13" s="25" t="str">
        <f aca="false">IF($C13="Milestone",IF(AND(Y$7&lt;=$I13,Y$7+6&gt;=$I13),"◆",""),IF(AND($C13="Task",$M13&lt;&gt;"",Y$7&lt;=IF($N13="",$D$4,$N13),Y$7+6&gt;=$M13),"●",""))</f>
        <v/>
      </c>
      <c r="Z13" s="25" t="str">
        <f aca="false">IF($C13="Milestone",IF(AND(Z$7&lt;=$I13,Z$7+6&gt;=$I13),"◆",""),IF(AND($C13="Task",$M13&lt;&gt;"",Z$7&lt;=IF($N13="",$D$4,$N13),Z$7+6&gt;=$M13),"●",""))</f>
        <v/>
      </c>
      <c r="AA13" s="25" t="str">
        <f aca="false">IF($C13="Milestone",IF(AND(AA$7&lt;=$I13,AA$7+6&gt;=$I13),"◆",""),IF(AND($C13="Task",$M13&lt;&gt;"",AA$7&lt;=IF($N13="",$D$4,$N13),AA$7+6&gt;=$M13),"●",""))</f>
        <v/>
      </c>
      <c r="AB13" s="25" t="str">
        <f aca="false">IF($C13="Milestone",IF(AND(AB$7&lt;=$I13,AB$7+6&gt;=$I13),"◆",""),IF(AND($C13="Task",$M13&lt;&gt;"",AB$7&lt;=IF($N13="",$D$4,$N13),AB$7+6&gt;=$M13),"●",""))</f>
        <v/>
      </c>
      <c r="AC13" s="25" t="str">
        <f aca="false">IF($C13="Milestone",IF(AND(AC$7&lt;=$I13,AC$7+6&gt;=$I13),"◆",""),IF(AND($C13="Task",$M13&lt;&gt;"",AC$7&lt;=IF($N13="",$D$4,$N13),AC$7+6&gt;=$M13),"●",""))</f>
        <v/>
      </c>
      <c r="AD13" s="25" t="str">
        <f aca="false">IF($C13="Milestone",IF(AND(AD$7&lt;=$I13,AD$7+6&gt;=$I13),"◆",""),IF(AND($C13="Task",$M13&lt;&gt;"",AD$7&lt;=IF($N13="",$D$4,$N13),AD$7+6&gt;=$M13),"●",""))</f>
        <v/>
      </c>
      <c r="AE13" s="25" t="str">
        <f aca="false">IF($C13="Milestone",IF(AND(AE$7&lt;=$I13,AE$7+6&gt;=$I13),"◆",""),IF(AND($C13="Task",$M13&lt;&gt;"",AE$7&lt;=IF($N13="",$D$4,$N13),AE$7+6&gt;=$M13),"●",""))</f>
        <v/>
      </c>
      <c r="AF13" s="25" t="str">
        <f aca="false">IF($C13="Milestone",IF(AND(AF$7&lt;=$I13,AF$7+6&gt;=$I13),"◆",""),IF(AND($C13="Task",$M13&lt;&gt;"",AF$7&lt;=IF($N13="",$D$4,$N13),AF$7+6&gt;=$M13),"●",""))</f>
        <v/>
      </c>
      <c r="AG13" s="25" t="str">
        <f aca="false">IF($C13="Milestone",IF(AND(AG$7&lt;=$I13,AG$7+6&gt;=$I13),"◆",""),IF(AND($C13="Task",$M13&lt;&gt;"",AG$7&lt;=IF($N13="",$D$4,$N13),AG$7+6&gt;=$M13),"●",""))</f>
        <v/>
      </c>
      <c r="AH13" s="25" t="str">
        <f aca="false">IF($C13="Milestone",IF(AND(AH$7&lt;=$I13,AH$7+6&gt;=$I13),"◆",""),IF(AND($C13="Task",$M13&lt;&gt;"",AH$7&lt;=IF($N13="",$D$4,$N13),AH$7+6&gt;=$M13),"●",""))</f>
        <v/>
      </c>
      <c r="AI13" s="25" t="str">
        <f aca="false">IF($C13="Milestone",IF(AND(AI$7&lt;=$I13,AI$7+6&gt;=$I13),"◆",""),IF(AND($C13="Task",$M13&lt;&gt;"",AI$7&lt;=IF($N13="",$D$4,$N13),AI$7+6&gt;=$M13),"●",""))</f>
        <v/>
      </c>
      <c r="AJ13" s="25" t="str">
        <f aca="false">IF($C13="Milestone",IF(AND(AJ$7&lt;=$I13,AJ$7+6&gt;=$I13),"◆",""),IF(AND($C13="Task",$M13&lt;&gt;"",AJ$7&lt;=IF($N13="",$D$4,$N13),AJ$7+6&gt;=$M13),"●",""))</f>
        <v/>
      </c>
      <c r="AK13" s="25" t="str">
        <f aca="false">IF($C13="Milestone",IF(AND(AK$7&lt;=$I13,AK$7+6&gt;=$I13),"◆",""),IF(AND($C13="Task",$M13&lt;&gt;"",AK$7&lt;=IF($N13="",$D$4,$N13),AK$7+6&gt;=$M13),"●",""))</f>
        <v/>
      </c>
      <c r="AL13" s="25" t="str">
        <f aca="false">IF($C13="Milestone",IF(AND(AL$7&lt;=$I13,AL$7+6&gt;=$I13),"◆",""),IF(AND($C13="Task",$M13&lt;&gt;"",AL$7&lt;=IF($N13="",$D$4,$N13),AL$7+6&gt;=$M13),"●",""))</f>
        <v/>
      </c>
      <c r="AM13" s="25" t="str">
        <f aca="false">IF($C13="Milestone",IF(AND(AM$7&lt;=$I13,AM$7+6&gt;=$I13),"◆",""),IF(AND($C13="Task",$M13&lt;&gt;"",AM$7&lt;=IF($N13="",$D$4,$N13),AM$7+6&gt;=$M13),"●",""))</f>
        <v/>
      </c>
      <c r="AN13" s="25" t="str">
        <f aca="false">IF($C13="Milestone",IF(AND(AN$7&lt;=$I13,AN$7+6&gt;=$I13),"◆",""),IF(AND($C13="Task",$M13&lt;&gt;"",AN$7&lt;=IF($N13="",$D$4,$N13),AN$7+6&gt;=$M13),"●",""))</f>
        <v/>
      </c>
      <c r="AO13" s="25" t="str">
        <f aca="false">IF($C13="Milestone",IF(AND(AO$7&lt;=$I13,AO$7+6&gt;=$I13),"◆",""),IF(AND($C13="Task",$M13&lt;&gt;"",AO$7&lt;=IF($N13="",$D$4,$N13),AO$7+6&gt;=$M13),"●",""))</f>
        <v/>
      </c>
      <c r="AP13" s="25" t="str">
        <f aca="false">IF($C13="Milestone",IF(AND(AP$7&lt;=$I13,AP$7+6&gt;=$I13),"◆",""),IF(AND($C13="Task",$M13&lt;&gt;"",AP$7&lt;=IF($N13="",$D$4,$N13),AP$7+6&gt;=$M13),"●",""))</f>
        <v/>
      </c>
      <c r="AQ13" s="25" t="str">
        <f aca="false">IF($C13="Milestone",IF(AND(AQ$7&lt;=$I13,AQ$7+6&gt;=$I13),"◆",""),IF(AND($C13="Task",$M13&lt;&gt;"",AQ$7&lt;=IF($N13="",$D$4,$N13),AQ$7+6&gt;=$M13),"●",""))</f>
        <v/>
      </c>
      <c r="AR13" s="25" t="str">
        <f aca="false">IF($C13="Milestone",IF(AND(AR$7&lt;=$I13,AR$7+6&gt;=$I13),"◆",""),IF(AND($C13="Task",$M13&lt;&gt;"",AR$7&lt;=IF($N13="",$D$4,$N13),AR$7+6&gt;=$M13),"●",""))</f>
        <v/>
      </c>
      <c r="AS13" s="25" t="str">
        <f aca="false">IF($C13="Milestone",IF(AND(AS$7&lt;=$I13,AS$7+6&gt;=$I13),"◆",""),IF(AND($C13="Task",$M13&lt;&gt;"",AS$7&lt;=IF($N13="",$D$4,$N13),AS$7+6&gt;=$M13),"●",""))</f>
        <v/>
      </c>
      <c r="AT13" s="25" t="str">
        <f aca="false">IF($C13="Milestone",IF(AND(AT$7&lt;=$I13,AT$7+6&gt;=$I13),"◆",""),IF(AND($C13="Task",$M13&lt;&gt;"",AT$7&lt;=IF($N13="",$D$4,$N13),AT$7+6&gt;=$M13),"●",""))</f>
        <v/>
      </c>
      <c r="AU13" s="25" t="str">
        <f aca="false">IF($C13="Milestone",IF(AND(AU$7&lt;=$I13,AU$7+6&gt;=$I13),"◆",""),IF(AND($C13="Task",$M13&lt;&gt;"",AU$7&lt;=IF($N13="",$D$4,$N13),AU$7+6&gt;=$M13),"●",""))</f>
        <v/>
      </c>
      <c r="AV13" s="25" t="str">
        <f aca="false">IF($C13="Milestone",IF(AND(AV$7&lt;=$I13,AV$7+6&gt;=$I13),"◆",""),IF(AND($C13="Task",$M13&lt;&gt;"",AV$7&lt;=IF($N13="",$D$4,$N13),AV$7+6&gt;=$M13),"●",""))</f>
        <v/>
      </c>
      <c r="AW13" s="25" t="str">
        <f aca="false">IF($C13="Milestone",IF(AND(AW$7&lt;=$I13,AW$7+6&gt;=$I13),"◆",""),IF(AND($C13="Task",$M13&lt;&gt;"",AW$7&lt;=IF($N13="",$D$4,$N13),AW$7+6&gt;=$M13),"●",""))</f>
        <v/>
      </c>
      <c r="AX13" s="25" t="str">
        <f aca="false">IF($C13="Milestone",IF(AND(AX$7&lt;=$I13,AX$7+6&gt;=$I13),"◆",""),IF(AND($C13="Task",$M13&lt;&gt;"",AX$7&lt;=IF($N13="",$D$4,$N13),AX$7+6&gt;=$M13),"●",""))</f>
        <v/>
      </c>
      <c r="AY13" s="25" t="str">
        <f aca="false">IF($C13="Milestone",IF(AND(AY$7&lt;=$I13,AY$7+6&gt;=$I13),"◆",""),IF(AND($C13="Task",$M13&lt;&gt;"",AY$7&lt;=IF($N13="",$D$4,$N13),AY$7+6&gt;=$M13),"●",""))</f>
        <v/>
      </c>
      <c r="AZ13" s="25" t="str">
        <f aca="false">IF($C13="Milestone",IF(AND(AZ$7&lt;=$I13,AZ$7+6&gt;=$I13),"◆",""),IF(AND($C13="Task",$M13&lt;&gt;"",AZ$7&lt;=IF($N13="",$D$4,$N13),AZ$7+6&gt;=$M13),"●",""))</f>
        <v/>
      </c>
    </row>
    <row r="14" customFormat="false" ht="18" hidden="false" customHeight="true" outlineLevel="0" collapsed="false">
      <c r="A14" s="18" t="s">
        <v>55</v>
      </c>
      <c r="B14" s="19" t="s">
        <v>56</v>
      </c>
      <c r="C14" s="18" t="s">
        <v>20</v>
      </c>
      <c r="D14" s="18"/>
      <c r="E14" s="18"/>
      <c r="F14" s="18" t="s">
        <v>50</v>
      </c>
      <c r="G14" s="20" t="n">
        <v>46412</v>
      </c>
      <c r="H14" s="20" t="n">
        <v>46500</v>
      </c>
      <c r="I14" s="21" t="n">
        <v>46412</v>
      </c>
      <c r="J14" s="21" t="n">
        <v>46500</v>
      </c>
      <c r="K14" s="18" t="n">
        <f aca="false">IF(C14="Task",ROUND((J14-I14+3)/7,0),"")</f>
        <v>13</v>
      </c>
      <c r="L14" s="18" t="n">
        <v>0</v>
      </c>
      <c r="M14" s="21"/>
      <c r="N14" s="21"/>
      <c r="O14" s="22"/>
      <c r="P14" s="18" t="str">
        <f aca="false">IF(C14="Break","",IF(C14="Milestone",IF(N14&lt;&gt;"","Done",IF($D$4&gt;J14,"Overdue","Upcoming")),IF(N(O14)&gt;=1,"Done",IF($D$4&lt;I14,"Not started",IF($D$4&gt;J14,"Late",IF(N(O14)+0.1&lt;($D$4-I14+1)/(J14-I14+1),"Behind","On track"))))))</f>
        <v>Not started</v>
      </c>
      <c r="Q14" s="23" t="n">
        <f aca="false">IF(C14="Break","",ROUND((IF(N14&lt;&gt;"",N14,J14)-H14)/7,1))</f>
        <v>0</v>
      </c>
      <c r="R14" s="18" t="str">
        <f aca="false">IF(C14="Milestone",IF(N14&lt;&gt;"","✓",""),IF(AND(C14="Task",N(O14)&gt;=1),"✓",""))</f>
        <v/>
      </c>
      <c r="S14" s="18" t="n">
        <f aca="false">IF(C14="Task",K14*N(O14),"")</f>
        <v>0</v>
      </c>
      <c r="T14" s="24"/>
      <c r="U14" s="25" t="str">
        <f aca="false">IF($C14="Milestone",IF(AND(U$7&lt;=$I14,U$7+6&gt;=$I14),"◆",""),IF(AND($C14="Task",$M14&lt;&gt;"",U$7&lt;=IF($N14="",$D$4,$N14),U$7+6&gt;=$M14),"●",""))</f>
        <v/>
      </c>
      <c r="V14" s="25" t="str">
        <f aca="false">IF($C14="Milestone",IF(AND(V$7&lt;=$I14,V$7+6&gt;=$I14),"◆",""),IF(AND($C14="Task",$M14&lt;&gt;"",V$7&lt;=IF($N14="",$D$4,$N14),V$7+6&gt;=$M14),"●",""))</f>
        <v/>
      </c>
      <c r="W14" s="25" t="str">
        <f aca="false">IF($C14="Milestone",IF(AND(W$7&lt;=$I14,W$7+6&gt;=$I14),"◆",""),IF(AND($C14="Task",$M14&lt;&gt;"",W$7&lt;=IF($N14="",$D$4,$N14),W$7+6&gt;=$M14),"●",""))</f>
        <v/>
      </c>
      <c r="X14" s="25" t="str">
        <f aca="false">IF($C14="Milestone",IF(AND(X$7&lt;=$I14,X$7+6&gt;=$I14),"◆",""),IF(AND($C14="Task",$M14&lt;&gt;"",X$7&lt;=IF($N14="",$D$4,$N14),X$7+6&gt;=$M14),"●",""))</f>
        <v/>
      </c>
      <c r="Y14" s="25" t="str">
        <f aca="false">IF($C14="Milestone",IF(AND(Y$7&lt;=$I14,Y$7+6&gt;=$I14),"◆",""),IF(AND($C14="Task",$M14&lt;&gt;"",Y$7&lt;=IF($N14="",$D$4,$N14),Y$7+6&gt;=$M14),"●",""))</f>
        <v/>
      </c>
      <c r="Z14" s="25" t="str">
        <f aca="false">IF($C14="Milestone",IF(AND(Z$7&lt;=$I14,Z$7+6&gt;=$I14),"◆",""),IF(AND($C14="Task",$M14&lt;&gt;"",Z$7&lt;=IF($N14="",$D$4,$N14),Z$7+6&gt;=$M14),"●",""))</f>
        <v/>
      </c>
      <c r="AA14" s="25" t="str">
        <f aca="false">IF($C14="Milestone",IF(AND(AA$7&lt;=$I14,AA$7+6&gt;=$I14),"◆",""),IF(AND($C14="Task",$M14&lt;&gt;"",AA$7&lt;=IF($N14="",$D$4,$N14),AA$7+6&gt;=$M14),"●",""))</f>
        <v/>
      </c>
      <c r="AB14" s="25" t="str">
        <f aca="false">IF($C14="Milestone",IF(AND(AB$7&lt;=$I14,AB$7+6&gt;=$I14),"◆",""),IF(AND($C14="Task",$M14&lt;&gt;"",AB$7&lt;=IF($N14="",$D$4,$N14),AB$7+6&gt;=$M14),"●",""))</f>
        <v/>
      </c>
      <c r="AC14" s="25" t="str">
        <f aca="false">IF($C14="Milestone",IF(AND(AC$7&lt;=$I14,AC$7+6&gt;=$I14),"◆",""),IF(AND($C14="Task",$M14&lt;&gt;"",AC$7&lt;=IF($N14="",$D$4,$N14),AC$7+6&gt;=$M14),"●",""))</f>
        <v/>
      </c>
      <c r="AD14" s="25" t="str">
        <f aca="false">IF($C14="Milestone",IF(AND(AD$7&lt;=$I14,AD$7+6&gt;=$I14),"◆",""),IF(AND($C14="Task",$M14&lt;&gt;"",AD$7&lt;=IF($N14="",$D$4,$N14),AD$7+6&gt;=$M14),"●",""))</f>
        <v/>
      </c>
      <c r="AE14" s="25" t="str">
        <f aca="false">IF($C14="Milestone",IF(AND(AE$7&lt;=$I14,AE$7+6&gt;=$I14),"◆",""),IF(AND($C14="Task",$M14&lt;&gt;"",AE$7&lt;=IF($N14="",$D$4,$N14),AE$7+6&gt;=$M14),"●",""))</f>
        <v/>
      </c>
      <c r="AF14" s="25" t="str">
        <f aca="false">IF($C14="Milestone",IF(AND(AF$7&lt;=$I14,AF$7+6&gt;=$I14),"◆",""),IF(AND($C14="Task",$M14&lt;&gt;"",AF$7&lt;=IF($N14="",$D$4,$N14),AF$7+6&gt;=$M14),"●",""))</f>
        <v/>
      </c>
      <c r="AG14" s="25" t="str">
        <f aca="false">IF($C14="Milestone",IF(AND(AG$7&lt;=$I14,AG$7+6&gt;=$I14),"◆",""),IF(AND($C14="Task",$M14&lt;&gt;"",AG$7&lt;=IF($N14="",$D$4,$N14),AG$7+6&gt;=$M14),"●",""))</f>
        <v/>
      </c>
      <c r="AH14" s="25" t="str">
        <f aca="false">IF($C14="Milestone",IF(AND(AH$7&lt;=$I14,AH$7+6&gt;=$I14),"◆",""),IF(AND($C14="Task",$M14&lt;&gt;"",AH$7&lt;=IF($N14="",$D$4,$N14),AH$7+6&gt;=$M14),"●",""))</f>
        <v/>
      </c>
      <c r="AI14" s="25" t="str">
        <f aca="false">IF($C14="Milestone",IF(AND(AI$7&lt;=$I14,AI$7+6&gt;=$I14),"◆",""),IF(AND($C14="Task",$M14&lt;&gt;"",AI$7&lt;=IF($N14="",$D$4,$N14),AI$7+6&gt;=$M14),"●",""))</f>
        <v/>
      </c>
      <c r="AJ14" s="25" t="str">
        <f aca="false">IF($C14="Milestone",IF(AND(AJ$7&lt;=$I14,AJ$7+6&gt;=$I14),"◆",""),IF(AND($C14="Task",$M14&lt;&gt;"",AJ$7&lt;=IF($N14="",$D$4,$N14),AJ$7+6&gt;=$M14),"●",""))</f>
        <v/>
      </c>
      <c r="AK14" s="25" t="str">
        <f aca="false">IF($C14="Milestone",IF(AND(AK$7&lt;=$I14,AK$7+6&gt;=$I14),"◆",""),IF(AND($C14="Task",$M14&lt;&gt;"",AK$7&lt;=IF($N14="",$D$4,$N14),AK$7+6&gt;=$M14),"●",""))</f>
        <v/>
      </c>
      <c r="AL14" s="25" t="str">
        <f aca="false">IF($C14="Milestone",IF(AND(AL$7&lt;=$I14,AL$7+6&gt;=$I14),"◆",""),IF(AND($C14="Task",$M14&lt;&gt;"",AL$7&lt;=IF($N14="",$D$4,$N14),AL$7+6&gt;=$M14),"●",""))</f>
        <v/>
      </c>
      <c r="AM14" s="25" t="str">
        <f aca="false">IF($C14="Milestone",IF(AND(AM$7&lt;=$I14,AM$7+6&gt;=$I14),"◆",""),IF(AND($C14="Task",$M14&lt;&gt;"",AM$7&lt;=IF($N14="",$D$4,$N14),AM$7+6&gt;=$M14),"●",""))</f>
        <v/>
      </c>
      <c r="AN14" s="25" t="str">
        <f aca="false">IF($C14="Milestone",IF(AND(AN$7&lt;=$I14,AN$7+6&gt;=$I14),"◆",""),IF(AND($C14="Task",$M14&lt;&gt;"",AN$7&lt;=IF($N14="",$D$4,$N14),AN$7+6&gt;=$M14),"●",""))</f>
        <v/>
      </c>
      <c r="AO14" s="25" t="str">
        <f aca="false">IF($C14="Milestone",IF(AND(AO$7&lt;=$I14,AO$7+6&gt;=$I14),"◆",""),IF(AND($C14="Task",$M14&lt;&gt;"",AO$7&lt;=IF($N14="",$D$4,$N14),AO$7+6&gt;=$M14),"●",""))</f>
        <v/>
      </c>
      <c r="AP14" s="25" t="str">
        <f aca="false">IF($C14="Milestone",IF(AND(AP$7&lt;=$I14,AP$7+6&gt;=$I14),"◆",""),IF(AND($C14="Task",$M14&lt;&gt;"",AP$7&lt;=IF($N14="",$D$4,$N14),AP$7+6&gt;=$M14),"●",""))</f>
        <v/>
      </c>
      <c r="AQ14" s="25" t="str">
        <f aca="false">IF($C14="Milestone",IF(AND(AQ$7&lt;=$I14,AQ$7+6&gt;=$I14),"◆",""),IF(AND($C14="Task",$M14&lt;&gt;"",AQ$7&lt;=IF($N14="",$D$4,$N14),AQ$7+6&gt;=$M14),"●",""))</f>
        <v/>
      </c>
      <c r="AR14" s="25" t="str">
        <f aca="false">IF($C14="Milestone",IF(AND(AR$7&lt;=$I14,AR$7+6&gt;=$I14),"◆",""),IF(AND($C14="Task",$M14&lt;&gt;"",AR$7&lt;=IF($N14="",$D$4,$N14),AR$7+6&gt;=$M14),"●",""))</f>
        <v/>
      </c>
      <c r="AS14" s="25" t="str">
        <f aca="false">IF($C14="Milestone",IF(AND(AS$7&lt;=$I14,AS$7+6&gt;=$I14),"◆",""),IF(AND($C14="Task",$M14&lt;&gt;"",AS$7&lt;=IF($N14="",$D$4,$N14),AS$7+6&gt;=$M14),"●",""))</f>
        <v/>
      </c>
      <c r="AT14" s="25" t="str">
        <f aca="false">IF($C14="Milestone",IF(AND(AT$7&lt;=$I14,AT$7+6&gt;=$I14),"◆",""),IF(AND($C14="Task",$M14&lt;&gt;"",AT$7&lt;=IF($N14="",$D$4,$N14),AT$7+6&gt;=$M14),"●",""))</f>
        <v/>
      </c>
      <c r="AU14" s="25" t="str">
        <f aca="false">IF($C14="Milestone",IF(AND(AU$7&lt;=$I14,AU$7+6&gt;=$I14),"◆",""),IF(AND($C14="Task",$M14&lt;&gt;"",AU$7&lt;=IF($N14="",$D$4,$N14),AU$7+6&gt;=$M14),"●",""))</f>
        <v/>
      </c>
      <c r="AV14" s="25" t="str">
        <f aca="false">IF($C14="Milestone",IF(AND(AV$7&lt;=$I14,AV$7+6&gt;=$I14),"◆",""),IF(AND($C14="Task",$M14&lt;&gt;"",AV$7&lt;=IF($N14="",$D$4,$N14),AV$7+6&gt;=$M14),"●",""))</f>
        <v/>
      </c>
      <c r="AW14" s="25" t="str">
        <f aca="false">IF($C14="Milestone",IF(AND(AW$7&lt;=$I14,AW$7+6&gt;=$I14),"◆",""),IF(AND($C14="Task",$M14&lt;&gt;"",AW$7&lt;=IF($N14="",$D$4,$N14),AW$7+6&gt;=$M14),"●",""))</f>
        <v/>
      </c>
      <c r="AX14" s="25" t="str">
        <f aca="false">IF($C14="Milestone",IF(AND(AX$7&lt;=$I14,AX$7+6&gt;=$I14),"◆",""),IF(AND($C14="Task",$M14&lt;&gt;"",AX$7&lt;=IF($N14="",$D$4,$N14),AX$7+6&gt;=$M14),"●",""))</f>
        <v/>
      </c>
      <c r="AY14" s="25" t="str">
        <f aca="false">IF($C14="Milestone",IF(AND(AY$7&lt;=$I14,AY$7+6&gt;=$I14),"◆",""),IF(AND($C14="Task",$M14&lt;&gt;"",AY$7&lt;=IF($N14="",$D$4,$N14),AY$7+6&gt;=$M14),"●",""))</f>
        <v/>
      </c>
      <c r="AZ14" s="25" t="str">
        <f aca="false">IF($C14="Milestone",IF(AND(AZ$7&lt;=$I14,AZ$7+6&gt;=$I14),"◆",""),IF(AND($C14="Task",$M14&lt;&gt;"",AZ$7&lt;=IF($N14="",$D$4,$N14),AZ$7+6&gt;=$M14),"●",""))</f>
        <v/>
      </c>
    </row>
    <row r="15" customFormat="false" ht="18" hidden="false" customHeight="true" outlineLevel="0" collapsed="false">
      <c r="A15" s="18" t="s">
        <v>57</v>
      </c>
      <c r="B15" s="19" t="s">
        <v>58</v>
      </c>
      <c r="C15" s="18" t="s">
        <v>20</v>
      </c>
      <c r="D15" s="18"/>
      <c r="E15" s="18" t="s">
        <v>59</v>
      </c>
      <c r="F15" s="18" t="s">
        <v>44</v>
      </c>
      <c r="G15" s="20" t="n">
        <v>46433</v>
      </c>
      <c r="H15" s="20" t="n">
        <v>46437</v>
      </c>
      <c r="I15" s="21" t="n">
        <v>46426</v>
      </c>
      <c r="J15" s="21" t="n">
        <v>46437</v>
      </c>
      <c r="K15" s="18" t="n">
        <f aca="false">IF(C15="Task",ROUND((J15-I15+3)/7,0),"")</f>
        <v>2</v>
      </c>
      <c r="L15" s="18" t="n">
        <v>0</v>
      </c>
      <c r="M15" s="21"/>
      <c r="N15" s="21"/>
      <c r="O15" s="22"/>
      <c r="P15" s="18" t="str">
        <f aca="false">IF(C15="Break","",IF(C15="Milestone",IF(N15&lt;&gt;"","Done",IF($D$4&gt;J15,"Overdue","Upcoming")),IF(N(O15)&gt;=1,"Done",IF($D$4&lt;I15,"Not started",IF($D$4&gt;J15,"Late",IF(N(O15)+0.1&lt;($D$4-I15+1)/(J15-I15+1),"Behind","On track"))))))</f>
        <v>Not started</v>
      </c>
      <c r="Q15" s="23" t="n">
        <f aca="false">IF(C15="Break","",ROUND((IF(N15&lt;&gt;"",N15,J15)-H15)/7,1))</f>
        <v>0</v>
      </c>
      <c r="R15" s="18" t="str">
        <f aca="false">IF(C15="Milestone",IF(N15&lt;&gt;"","✓",""),IF(AND(C15="Task",N(O15)&gt;=1),"✓",""))</f>
        <v/>
      </c>
      <c r="S15" s="18" t="n">
        <f aca="false">IF(C15="Task",K15*N(O15),"")</f>
        <v>0</v>
      </c>
      <c r="T15" s="24"/>
      <c r="U15" s="25" t="str">
        <f aca="false">IF($C15="Milestone",IF(AND(U$7&lt;=$I15,U$7+6&gt;=$I15),"◆",""),IF(AND($C15="Task",$M15&lt;&gt;"",U$7&lt;=IF($N15="",$D$4,$N15),U$7+6&gt;=$M15),"●",""))</f>
        <v/>
      </c>
      <c r="V15" s="25" t="str">
        <f aca="false">IF($C15="Milestone",IF(AND(V$7&lt;=$I15,V$7+6&gt;=$I15),"◆",""),IF(AND($C15="Task",$M15&lt;&gt;"",V$7&lt;=IF($N15="",$D$4,$N15),V$7+6&gt;=$M15),"●",""))</f>
        <v/>
      </c>
      <c r="W15" s="25" t="str">
        <f aca="false">IF($C15="Milestone",IF(AND(W$7&lt;=$I15,W$7+6&gt;=$I15),"◆",""),IF(AND($C15="Task",$M15&lt;&gt;"",W$7&lt;=IF($N15="",$D$4,$N15),W$7+6&gt;=$M15),"●",""))</f>
        <v/>
      </c>
      <c r="X15" s="25" t="str">
        <f aca="false">IF($C15="Milestone",IF(AND(X$7&lt;=$I15,X$7+6&gt;=$I15),"◆",""),IF(AND($C15="Task",$M15&lt;&gt;"",X$7&lt;=IF($N15="",$D$4,$N15),X$7+6&gt;=$M15),"●",""))</f>
        <v/>
      </c>
      <c r="Y15" s="25" t="str">
        <f aca="false">IF($C15="Milestone",IF(AND(Y$7&lt;=$I15,Y$7+6&gt;=$I15),"◆",""),IF(AND($C15="Task",$M15&lt;&gt;"",Y$7&lt;=IF($N15="",$D$4,$N15),Y$7+6&gt;=$M15),"●",""))</f>
        <v/>
      </c>
      <c r="Z15" s="25" t="str">
        <f aca="false">IF($C15="Milestone",IF(AND(Z$7&lt;=$I15,Z$7+6&gt;=$I15),"◆",""),IF(AND($C15="Task",$M15&lt;&gt;"",Z$7&lt;=IF($N15="",$D$4,$N15),Z$7+6&gt;=$M15),"●",""))</f>
        <v/>
      </c>
      <c r="AA15" s="25" t="str">
        <f aca="false">IF($C15="Milestone",IF(AND(AA$7&lt;=$I15,AA$7+6&gt;=$I15),"◆",""),IF(AND($C15="Task",$M15&lt;&gt;"",AA$7&lt;=IF($N15="",$D$4,$N15),AA$7+6&gt;=$M15),"●",""))</f>
        <v/>
      </c>
      <c r="AB15" s="25" t="str">
        <f aca="false">IF($C15="Milestone",IF(AND(AB$7&lt;=$I15,AB$7+6&gt;=$I15),"◆",""),IF(AND($C15="Task",$M15&lt;&gt;"",AB$7&lt;=IF($N15="",$D$4,$N15),AB$7+6&gt;=$M15),"●",""))</f>
        <v/>
      </c>
      <c r="AC15" s="25" t="str">
        <f aca="false">IF($C15="Milestone",IF(AND(AC$7&lt;=$I15,AC$7+6&gt;=$I15),"◆",""),IF(AND($C15="Task",$M15&lt;&gt;"",AC$7&lt;=IF($N15="",$D$4,$N15),AC$7+6&gt;=$M15),"●",""))</f>
        <v/>
      </c>
      <c r="AD15" s="25" t="str">
        <f aca="false">IF($C15="Milestone",IF(AND(AD$7&lt;=$I15,AD$7+6&gt;=$I15),"◆",""),IF(AND($C15="Task",$M15&lt;&gt;"",AD$7&lt;=IF($N15="",$D$4,$N15),AD$7+6&gt;=$M15),"●",""))</f>
        <v/>
      </c>
      <c r="AE15" s="25" t="str">
        <f aca="false">IF($C15="Milestone",IF(AND(AE$7&lt;=$I15,AE$7+6&gt;=$I15),"◆",""),IF(AND($C15="Task",$M15&lt;&gt;"",AE$7&lt;=IF($N15="",$D$4,$N15),AE$7+6&gt;=$M15),"●",""))</f>
        <v/>
      </c>
      <c r="AF15" s="25" t="str">
        <f aca="false">IF($C15="Milestone",IF(AND(AF$7&lt;=$I15,AF$7+6&gt;=$I15),"◆",""),IF(AND($C15="Task",$M15&lt;&gt;"",AF$7&lt;=IF($N15="",$D$4,$N15),AF$7+6&gt;=$M15),"●",""))</f>
        <v/>
      </c>
      <c r="AG15" s="25" t="str">
        <f aca="false">IF($C15="Milestone",IF(AND(AG$7&lt;=$I15,AG$7+6&gt;=$I15),"◆",""),IF(AND($C15="Task",$M15&lt;&gt;"",AG$7&lt;=IF($N15="",$D$4,$N15),AG$7+6&gt;=$M15),"●",""))</f>
        <v/>
      </c>
      <c r="AH15" s="25" t="str">
        <f aca="false">IF($C15="Milestone",IF(AND(AH$7&lt;=$I15,AH$7+6&gt;=$I15),"◆",""),IF(AND($C15="Task",$M15&lt;&gt;"",AH$7&lt;=IF($N15="",$D$4,$N15),AH$7+6&gt;=$M15),"●",""))</f>
        <v/>
      </c>
      <c r="AI15" s="25" t="str">
        <f aca="false">IF($C15="Milestone",IF(AND(AI$7&lt;=$I15,AI$7+6&gt;=$I15),"◆",""),IF(AND($C15="Task",$M15&lt;&gt;"",AI$7&lt;=IF($N15="",$D$4,$N15),AI$7+6&gt;=$M15),"●",""))</f>
        <v/>
      </c>
      <c r="AJ15" s="25" t="str">
        <f aca="false">IF($C15="Milestone",IF(AND(AJ$7&lt;=$I15,AJ$7+6&gt;=$I15),"◆",""),IF(AND($C15="Task",$M15&lt;&gt;"",AJ$7&lt;=IF($N15="",$D$4,$N15),AJ$7+6&gt;=$M15),"●",""))</f>
        <v/>
      </c>
      <c r="AK15" s="25" t="str">
        <f aca="false">IF($C15="Milestone",IF(AND(AK$7&lt;=$I15,AK$7+6&gt;=$I15),"◆",""),IF(AND($C15="Task",$M15&lt;&gt;"",AK$7&lt;=IF($N15="",$D$4,$N15),AK$7+6&gt;=$M15),"●",""))</f>
        <v/>
      </c>
      <c r="AL15" s="25" t="str">
        <f aca="false">IF($C15="Milestone",IF(AND(AL$7&lt;=$I15,AL$7+6&gt;=$I15),"◆",""),IF(AND($C15="Task",$M15&lt;&gt;"",AL$7&lt;=IF($N15="",$D$4,$N15),AL$7+6&gt;=$M15),"●",""))</f>
        <v/>
      </c>
      <c r="AM15" s="25" t="str">
        <f aca="false">IF($C15="Milestone",IF(AND(AM$7&lt;=$I15,AM$7+6&gt;=$I15),"◆",""),IF(AND($C15="Task",$M15&lt;&gt;"",AM$7&lt;=IF($N15="",$D$4,$N15),AM$7+6&gt;=$M15),"●",""))</f>
        <v/>
      </c>
      <c r="AN15" s="25" t="str">
        <f aca="false">IF($C15="Milestone",IF(AND(AN$7&lt;=$I15,AN$7+6&gt;=$I15),"◆",""),IF(AND($C15="Task",$M15&lt;&gt;"",AN$7&lt;=IF($N15="",$D$4,$N15),AN$7+6&gt;=$M15),"●",""))</f>
        <v/>
      </c>
      <c r="AO15" s="25" t="str">
        <f aca="false">IF($C15="Milestone",IF(AND(AO$7&lt;=$I15,AO$7+6&gt;=$I15),"◆",""),IF(AND($C15="Task",$M15&lt;&gt;"",AO$7&lt;=IF($N15="",$D$4,$N15),AO$7+6&gt;=$M15),"●",""))</f>
        <v/>
      </c>
      <c r="AP15" s="25" t="str">
        <f aca="false">IF($C15="Milestone",IF(AND(AP$7&lt;=$I15,AP$7+6&gt;=$I15),"◆",""),IF(AND($C15="Task",$M15&lt;&gt;"",AP$7&lt;=IF($N15="",$D$4,$N15),AP$7+6&gt;=$M15),"●",""))</f>
        <v/>
      </c>
      <c r="AQ15" s="25" t="str">
        <f aca="false">IF($C15="Milestone",IF(AND(AQ$7&lt;=$I15,AQ$7+6&gt;=$I15),"◆",""),IF(AND($C15="Task",$M15&lt;&gt;"",AQ$7&lt;=IF($N15="",$D$4,$N15),AQ$7+6&gt;=$M15),"●",""))</f>
        <v/>
      </c>
      <c r="AR15" s="25" t="str">
        <f aca="false">IF($C15="Milestone",IF(AND(AR$7&lt;=$I15,AR$7+6&gt;=$I15),"◆",""),IF(AND($C15="Task",$M15&lt;&gt;"",AR$7&lt;=IF($N15="",$D$4,$N15),AR$7+6&gt;=$M15),"●",""))</f>
        <v/>
      </c>
      <c r="AS15" s="25" t="str">
        <f aca="false">IF($C15="Milestone",IF(AND(AS$7&lt;=$I15,AS$7+6&gt;=$I15),"◆",""),IF(AND($C15="Task",$M15&lt;&gt;"",AS$7&lt;=IF($N15="",$D$4,$N15),AS$7+6&gt;=$M15),"●",""))</f>
        <v/>
      </c>
      <c r="AT15" s="25" t="str">
        <f aca="false">IF($C15="Milestone",IF(AND(AT$7&lt;=$I15,AT$7+6&gt;=$I15),"◆",""),IF(AND($C15="Task",$M15&lt;&gt;"",AT$7&lt;=IF($N15="",$D$4,$N15),AT$7+6&gt;=$M15),"●",""))</f>
        <v/>
      </c>
      <c r="AU15" s="25" t="str">
        <f aca="false">IF($C15="Milestone",IF(AND(AU$7&lt;=$I15,AU$7+6&gt;=$I15),"◆",""),IF(AND($C15="Task",$M15&lt;&gt;"",AU$7&lt;=IF($N15="",$D$4,$N15),AU$7+6&gt;=$M15),"●",""))</f>
        <v/>
      </c>
      <c r="AV15" s="25" t="str">
        <f aca="false">IF($C15="Milestone",IF(AND(AV$7&lt;=$I15,AV$7+6&gt;=$I15),"◆",""),IF(AND($C15="Task",$M15&lt;&gt;"",AV$7&lt;=IF($N15="",$D$4,$N15),AV$7+6&gt;=$M15),"●",""))</f>
        <v/>
      </c>
      <c r="AW15" s="25" t="str">
        <f aca="false">IF($C15="Milestone",IF(AND(AW$7&lt;=$I15,AW$7+6&gt;=$I15),"◆",""),IF(AND($C15="Task",$M15&lt;&gt;"",AW$7&lt;=IF($N15="",$D$4,$N15),AW$7+6&gt;=$M15),"●",""))</f>
        <v/>
      </c>
      <c r="AX15" s="25" t="str">
        <f aca="false">IF($C15="Milestone",IF(AND(AX$7&lt;=$I15,AX$7+6&gt;=$I15),"◆",""),IF(AND($C15="Task",$M15&lt;&gt;"",AX$7&lt;=IF($N15="",$D$4,$N15),AX$7+6&gt;=$M15),"●",""))</f>
        <v/>
      </c>
      <c r="AY15" s="25" t="str">
        <f aca="false">IF($C15="Milestone",IF(AND(AY$7&lt;=$I15,AY$7+6&gt;=$I15),"◆",""),IF(AND($C15="Task",$M15&lt;&gt;"",AY$7&lt;=IF($N15="",$D$4,$N15),AY$7+6&gt;=$M15),"●",""))</f>
        <v/>
      </c>
      <c r="AZ15" s="25" t="str">
        <f aca="false">IF($C15="Milestone",IF(AND(AZ$7&lt;=$I15,AZ$7+6&gt;=$I15),"◆",""),IF(AND($C15="Task",$M15&lt;&gt;"",AZ$7&lt;=IF($N15="",$D$4,$N15),AZ$7+6&gt;=$M15),"●",""))</f>
        <v/>
      </c>
    </row>
    <row r="16" customFormat="false" ht="18" hidden="false" customHeight="true" outlineLevel="0" collapsed="false">
      <c r="A16" s="18" t="s">
        <v>60</v>
      </c>
      <c r="B16" s="19" t="s">
        <v>61</v>
      </c>
      <c r="C16" s="18" t="s">
        <v>43</v>
      </c>
      <c r="D16" s="18"/>
      <c r="E16" s="18" t="s">
        <v>57</v>
      </c>
      <c r="F16" s="18" t="s">
        <v>44</v>
      </c>
      <c r="G16" s="20" t="n">
        <v>46440</v>
      </c>
      <c r="H16" s="20" t="n">
        <v>46440</v>
      </c>
      <c r="I16" s="21" t="n">
        <v>46440</v>
      </c>
      <c r="J16" s="21" t="n">
        <v>46440</v>
      </c>
      <c r="K16" s="18" t="str">
        <f aca="false">IF(C16="Task",ROUND((J16-I16+3)/7,0),"")</f>
        <v/>
      </c>
      <c r="L16" s="18"/>
      <c r="M16" s="21"/>
      <c r="N16" s="21"/>
      <c r="O16" s="22"/>
      <c r="P16" s="18" t="str">
        <f aca="false">IF(C16="Break","",IF(C16="Milestone",IF(N16&lt;&gt;"","Done",IF($D$4&gt;J16,"Overdue","Upcoming")),IF(N(O16)&gt;=1,"Done",IF($D$4&lt;I16,"Not started",IF($D$4&gt;J16,"Late",IF(N(O16)+0.1&lt;($D$4-I16+1)/(J16-I16+1),"Behind","On track"))))))</f>
        <v>Upcoming</v>
      </c>
      <c r="Q16" s="23" t="n">
        <f aca="false">IF(C16="Break","",ROUND((IF(N16&lt;&gt;"",N16,J16)-H16)/7,1))</f>
        <v>0</v>
      </c>
      <c r="R16" s="18" t="str">
        <f aca="false">IF(C16="Milestone",IF(N16&lt;&gt;"","✓",""),IF(AND(C16="Task",N(O16)&gt;=1),"✓",""))</f>
        <v/>
      </c>
      <c r="S16" s="18" t="str">
        <f aca="false">IF(C16="Task",K16*N(O16),"")</f>
        <v/>
      </c>
      <c r="T16" s="24"/>
      <c r="U16" s="25" t="str">
        <f aca="false">IF($C16="Milestone",IF(AND(U$7&lt;=$I16,U$7+6&gt;=$I16),"◆",""),IF(AND($C16="Task",$M16&lt;&gt;"",U$7&lt;=IF($N16="",$D$4,$N16),U$7+6&gt;=$M16),"●",""))</f>
        <v/>
      </c>
      <c r="V16" s="25" t="str">
        <f aca="false">IF($C16="Milestone",IF(AND(V$7&lt;=$I16,V$7+6&gt;=$I16),"◆",""),IF(AND($C16="Task",$M16&lt;&gt;"",V$7&lt;=IF($N16="",$D$4,$N16),V$7+6&gt;=$M16),"●",""))</f>
        <v/>
      </c>
      <c r="W16" s="25" t="str">
        <f aca="false">IF($C16="Milestone",IF(AND(W$7&lt;=$I16,W$7+6&gt;=$I16),"◆",""),IF(AND($C16="Task",$M16&lt;&gt;"",W$7&lt;=IF($N16="",$D$4,$N16),W$7+6&gt;=$M16),"●",""))</f>
        <v/>
      </c>
      <c r="X16" s="25" t="str">
        <f aca="false">IF($C16="Milestone",IF(AND(X$7&lt;=$I16,X$7+6&gt;=$I16),"◆",""),IF(AND($C16="Task",$M16&lt;&gt;"",X$7&lt;=IF($N16="",$D$4,$N16),X$7+6&gt;=$M16),"●",""))</f>
        <v/>
      </c>
      <c r="Y16" s="25" t="str">
        <f aca="false">IF($C16="Milestone",IF(AND(Y$7&lt;=$I16,Y$7+6&gt;=$I16),"◆",""),IF(AND($C16="Task",$M16&lt;&gt;"",Y$7&lt;=IF($N16="",$D$4,$N16),Y$7+6&gt;=$M16),"●",""))</f>
        <v/>
      </c>
      <c r="Z16" s="25" t="str">
        <f aca="false">IF($C16="Milestone",IF(AND(Z$7&lt;=$I16,Z$7+6&gt;=$I16),"◆",""),IF(AND($C16="Task",$M16&lt;&gt;"",Z$7&lt;=IF($N16="",$D$4,$N16),Z$7+6&gt;=$M16),"●",""))</f>
        <v/>
      </c>
      <c r="AA16" s="25" t="str">
        <f aca="false">IF($C16="Milestone",IF(AND(AA$7&lt;=$I16,AA$7+6&gt;=$I16),"◆",""),IF(AND($C16="Task",$M16&lt;&gt;"",AA$7&lt;=IF($N16="",$D$4,$N16),AA$7+6&gt;=$M16),"●",""))</f>
        <v/>
      </c>
      <c r="AB16" s="25" t="str">
        <f aca="false">IF($C16="Milestone",IF(AND(AB$7&lt;=$I16,AB$7+6&gt;=$I16),"◆",""),IF(AND($C16="Task",$M16&lt;&gt;"",AB$7&lt;=IF($N16="",$D$4,$N16),AB$7+6&gt;=$M16),"●",""))</f>
        <v/>
      </c>
      <c r="AC16" s="25" t="str">
        <f aca="false">IF($C16="Milestone",IF(AND(AC$7&lt;=$I16,AC$7+6&gt;=$I16),"◆",""),IF(AND($C16="Task",$M16&lt;&gt;"",AC$7&lt;=IF($N16="",$D$4,$N16),AC$7+6&gt;=$M16),"●",""))</f>
        <v/>
      </c>
      <c r="AD16" s="25" t="str">
        <f aca="false">IF($C16="Milestone",IF(AND(AD$7&lt;=$I16,AD$7+6&gt;=$I16),"◆",""),IF(AND($C16="Task",$M16&lt;&gt;"",AD$7&lt;=IF($N16="",$D$4,$N16),AD$7+6&gt;=$M16),"●",""))</f>
        <v/>
      </c>
      <c r="AE16" s="25" t="str">
        <f aca="false">IF($C16="Milestone",IF(AND(AE$7&lt;=$I16,AE$7+6&gt;=$I16),"◆",""),IF(AND($C16="Task",$M16&lt;&gt;"",AE$7&lt;=IF($N16="",$D$4,$N16),AE$7+6&gt;=$M16),"●",""))</f>
        <v/>
      </c>
      <c r="AF16" s="25" t="str">
        <f aca="false">IF($C16="Milestone",IF(AND(AF$7&lt;=$I16,AF$7+6&gt;=$I16),"◆",""),IF(AND($C16="Task",$M16&lt;&gt;"",AF$7&lt;=IF($N16="",$D$4,$N16),AF$7+6&gt;=$M16),"●",""))</f>
        <v/>
      </c>
      <c r="AG16" s="25" t="str">
        <f aca="false">IF($C16="Milestone",IF(AND(AG$7&lt;=$I16,AG$7+6&gt;=$I16),"◆",""),IF(AND($C16="Task",$M16&lt;&gt;"",AG$7&lt;=IF($N16="",$D$4,$N16),AG$7+6&gt;=$M16),"●",""))</f>
        <v/>
      </c>
      <c r="AH16" s="25" t="str">
        <f aca="false">IF($C16="Milestone",IF(AND(AH$7&lt;=$I16,AH$7+6&gt;=$I16),"◆",""),IF(AND($C16="Task",$M16&lt;&gt;"",AH$7&lt;=IF($N16="",$D$4,$N16),AH$7+6&gt;=$M16),"●",""))</f>
        <v/>
      </c>
      <c r="AI16" s="25" t="str">
        <f aca="false">IF($C16="Milestone",IF(AND(AI$7&lt;=$I16,AI$7+6&gt;=$I16),"◆",""),IF(AND($C16="Task",$M16&lt;&gt;"",AI$7&lt;=IF($N16="",$D$4,$N16),AI$7+6&gt;=$M16),"●",""))</f>
        <v/>
      </c>
      <c r="AJ16" s="25" t="str">
        <f aca="false">IF($C16="Milestone",IF(AND(AJ$7&lt;=$I16,AJ$7+6&gt;=$I16),"◆",""),IF(AND($C16="Task",$M16&lt;&gt;"",AJ$7&lt;=IF($N16="",$D$4,$N16),AJ$7+6&gt;=$M16),"●",""))</f>
        <v/>
      </c>
      <c r="AK16" s="25" t="str">
        <f aca="false">IF($C16="Milestone",IF(AND(AK$7&lt;=$I16,AK$7+6&gt;=$I16),"◆",""),IF(AND($C16="Task",$M16&lt;&gt;"",AK$7&lt;=IF($N16="",$D$4,$N16),AK$7+6&gt;=$M16),"●",""))</f>
        <v/>
      </c>
      <c r="AL16" s="25" t="str">
        <f aca="false">IF($C16="Milestone",IF(AND(AL$7&lt;=$I16,AL$7+6&gt;=$I16),"◆",""),IF(AND($C16="Task",$M16&lt;&gt;"",AL$7&lt;=IF($N16="",$D$4,$N16),AL$7+6&gt;=$M16),"●",""))</f>
        <v/>
      </c>
      <c r="AM16" s="25" t="str">
        <f aca="false">IF($C16="Milestone",IF(AND(AM$7&lt;=$I16,AM$7+6&gt;=$I16),"◆",""),IF(AND($C16="Task",$M16&lt;&gt;"",AM$7&lt;=IF($N16="",$D$4,$N16),AM$7+6&gt;=$M16),"●",""))</f>
        <v>◆</v>
      </c>
      <c r="AN16" s="25" t="str">
        <f aca="false">IF($C16="Milestone",IF(AND(AN$7&lt;=$I16,AN$7+6&gt;=$I16),"◆",""),IF(AND($C16="Task",$M16&lt;&gt;"",AN$7&lt;=IF($N16="",$D$4,$N16),AN$7+6&gt;=$M16),"●",""))</f>
        <v/>
      </c>
      <c r="AO16" s="25" t="str">
        <f aca="false">IF($C16="Milestone",IF(AND(AO$7&lt;=$I16,AO$7+6&gt;=$I16),"◆",""),IF(AND($C16="Task",$M16&lt;&gt;"",AO$7&lt;=IF($N16="",$D$4,$N16),AO$7+6&gt;=$M16),"●",""))</f>
        <v/>
      </c>
      <c r="AP16" s="25" t="str">
        <f aca="false">IF($C16="Milestone",IF(AND(AP$7&lt;=$I16,AP$7+6&gt;=$I16),"◆",""),IF(AND($C16="Task",$M16&lt;&gt;"",AP$7&lt;=IF($N16="",$D$4,$N16),AP$7+6&gt;=$M16),"●",""))</f>
        <v/>
      </c>
      <c r="AQ16" s="25" t="str">
        <f aca="false">IF($C16="Milestone",IF(AND(AQ$7&lt;=$I16,AQ$7+6&gt;=$I16),"◆",""),IF(AND($C16="Task",$M16&lt;&gt;"",AQ$7&lt;=IF($N16="",$D$4,$N16),AQ$7+6&gt;=$M16),"●",""))</f>
        <v/>
      </c>
      <c r="AR16" s="25" t="str">
        <f aca="false">IF($C16="Milestone",IF(AND(AR$7&lt;=$I16,AR$7+6&gt;=$I16),"◆",""),IF(AND($C16="Task",$M16&lt;&gt;"",AR$7&lt;=IF($N16="",$D$4,$N16),AR$7+6&gt;=$M16),"●",""))</f>
        <v/>
      </c>
      <c r="AS16" s="25" t="str">
        <f aca="false">IF($C16="Milestone",IF(AND(AS$7&lt;=$I16,AS$7+6&gt;=$I16),"◆",""),IF(AND($C16="Task",$M16&lt;&gt;"",AS$7&lt;=IF($N16="",$D$4,$N16),AS$7+6&gt;=$M16),"●",""))</f>
        <v/>
      </c>
      <c r="AT16" s="25" t="str">
        <f aca="false">IF($C16="Milestone",IF(AND(AT$7&lt;=$I16,AT$7+6&gt;=$I16),"◆",""),IF(AND($C16="Task",$M16&lt;&gt;"",AT$7&lt;=IF($N16="",$D$4,$N16),AT$7+6&gt;=$M16),"●",""))</f>
        <v/>
      </c>
      <c r="AU16" s="25" t="str">
        <f aca="false">IF($C16="Milestone",IF(AND(AU$7&lt;=$I16,AU$7+6&gt;=$I16),"◆",""),IF(AND($C16="Task",$M16&lt;&gt;"",AU$7&lt;=IF($N16="",$D$4,$N16),AU$7+6&gt;=$M16),"●",""))</f>
        <v/>
      </c>
      <c r="AV16" s="25" t="str">
        <f aca="false">IF($C16="Milestone",IF(AND(AV$7&lt;=$I16,AV$7+6&gt;=$I16),"◆",""),IF(AND($C16="Task",$M16&lt;&gt;"",AV$7&lt;=IF($N16="",$D$4,$N16),AV$7+6&gt;=$M16),"●",""))</f>
        <v/>
      </c>
      <c r="AW16" s="25" t="str">
        <f aca="false">IF($C16="Milestone",IF(AND(AW$7&lt;=$I16,AW$7+6&gt;=$I16),"◆",""),IF(AND($C16="Task",$M16&lt;&gt;"",AW$7&lt;=IF($N16="",$D$4,$N16),AW$7+6&gt;=$M16),"●",""))</f>
        <v/>
      </c>
      <c r="AX16" s="25" t="str">
        <f aca="false">IF($C16="Milestone",IF(AND(AX$7&lt;=$I16,AX$7+6&gt;=$I16),"◆",""),IF(AND($C16="Task",$M16&lt;&gt;"",AX$7&lt;=IF($N16="",$D$4,$N16),AX$7+6&gt;=$M16),"●",""))</f>
        <v/>
      </c>
      <c r="AY16" s="25" t="str">
        <f aca="false">IF($C16="Milestone",IF(AND(AY$7&lt;=$I16,AY$7+6&gt;=$I16),"◆",""),IF(AND($C16="Task",$M16&lt;&gt;"",AY$7&lt;=IF($N16="",$D$4,$N16),AY$7+6&gt;=$M16),"●",""))</f>
        <v/>
      </c>
      <c r="AZ16" s="25" t="str">
        <f aca="false">IF($C16="Milestone",IF(AND(AZ$7&lt;=$I16,AZ$7+6&gt;=$I16),"◆",""),IF(AND($C16="Task",$M16&lt;&gt;"",AZ$7&lt;=IF($N16="",$D$4,$N16),AZ$7+6&gt;=$M16),"●",""))</f>
        <v/>
      </c>
    </row>
    <row r="17" customFormat="false" ht="15" hidden="false" customHeight="false" outlineLevel="0" collapsed="false">
      <c r="A17" s="15"/>
      <c r="B17" s="16" t="s">
        <v>62</v>
      </c>
      <c r="C17" s="17" t="s">
        <v>40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</row>
    <row r="18" customFormat="false" ht="18" hidden="false" customHeight="true" outlineLevel="0" collapsed="false">
      <c r="A18" s="18" t="s">
        <v>63</v>
      </c>
      <c r="B18" s="19" t="s">
        <v>64</v>
      </c>
      <c r="C18" s="18" t="s">
        <v>20</v>
      </c>
      <c r="D18" s="18"/>
      <c r="E18" s="18"/>
      <c r="F18" s="18" t="s">
        <v>50</v>
      </c>
      <c r="G18" s="20" t="n">
        <v>46314</v>
      </c>
      <c r="H18" s="20" t="n">
        <v>46332</v>
      </c>
      <c r="I18" s="21" t="n">
        <v>46314</v>
      </c>
      <c r="J18" s="21" t="n">
        <v>46325</v>
      </c>
      <c r="K18" s="18" t="n">
        <f aca="false">IF(C18="Task",ROUND((J18-I18+3)/7,0),"")</f>
        <v>2</v>
      </c>
      <c r="L18" s="18" t="n">
        <v>2</v>
      </c>
      <c r="M18" s="21"/>
      <c r="N18" s="21"/>
      <c r="O18" s="22"/>
      <c r="P18" s="18" t="str">
        <f aca="false">IF(C18="Break","",IF(C18="Milestone",IF(N18&lt;&gt;"","Done",IF($D$4&gt;J18,"Overdue","Upcoming")),IF(N(O18)&gt;=1,"Done",IF($D$4&lt;I18,"Not started",IF($D$4&gt;J18,"Late",IF(N(O18)+0.1&lt;($D$4-I18+1)/(J18-I18+1),"Behind","On track"))))))</f>
        <v>Behind</v>
      </c>
      <c r="Q18" s="23" t="n">
        <f aca="false">IF(C18="Break","",ROUND((IF(N18&lt;&gt;"",N18,J18)-H18)/7,1))</f>
        <v>-1</v>
      </c>
      <c r="R18" s="18" t="str">
        <f aca="false">IF(C18="Milestone",IF(N18&lt;&gt;"","✓",""),IF(AND(C18="Task",N(O18)&gt;=1),"✓",""))</f>
        <v/>
      </c>
      <c r="S18" s="18" t="n">
        <f aca="false">IF(C18="Task",K18*N(O18),"")</f>
        <v>0</v>
      </c>
      <c r="T18" s="24"/>
      <c r="U18" s="25" t="str">
        <f aca="false">IF($C18="Milestone",IF(AND(U$7&lt;=$I18,U$7+6&gt;=$I18),"◆",""),IF(AND($C18="Task",$M18&lt;&gt;"",U$7&lt;=IF($N18="",$D$4,$N18),U$7+6&gt;=$M18),"●",""))</f>
        <v/>
      </c>
      <c r="V18" s="25" t="str">
        <f aca="false">IF($C18="Milestone",IF(AND(V$7&lt;=$I18,V$7+6&gt;=$I18),"◆",""),IF(AND($C18="Task",$M18&lt;&gt;"",V$7&lt;=IF($N18="",$D$4,$N18),V$7+6&gt;=$M18),"●",""))</f>
        <v/>
      </c>
      <c r="W18" s="25" t="str">
        <f aca="false">IF($C18="Milestone",IF(AND(W$7&lt;=$I18,W$7+6&gt;=$I18),"◆",""),IF(AND($C18="Task",$M18&lt;&gt;"",W$7&lt;=IF($N18="",$D$4,$N18),W$7+6&gt;=$M18),"●",""))</f>
        <v/>
      </c>
      <c r="X18" s="25" t="str">
        <f aca="false">IF($C18="Milestone",IF(AND(X$7&lt;=$I18,X$7+6&gt;=$I18),"◆",""),IF(AND($C18="Task",$M18&lt;&gt;"",X$7&lt;=IF($N18="",$D$4,$N18),X$7+6&gt;=$M18),"●",""))</f>
        <v/>
      </c>
      <c r="Y18" s="25" t="str">
        <f aca="false">IF($C18="Milestone",IF(AND(Y$7&lt;=$I18,Y$7+6&gt;=$I18),"◆",""),IF(AND($C18="Task",$M18&lt;&gt;"",Y$7&lt;=IF($N18="",$D$4,$N18),Y$7+6&gt;=$M18),"●",""))</f>
        <v/>
      </c>
      <c r="Z18" s="25" t="str">
        <f aca="false">IF($C18="Milestone",IF(AND(Z$7&lt;=$I18,Z$7+6&gt;=$I18),"◆",""),IF(AND($C18="Task",$M18&lt;&gt;"",Z$7&lt;=IF($N18="",$D$4,$N18),Z$7+6&gt;=$M18),"●",""))</f>
        <v/>
      </c>
      <c r="AA18" s="25" t="str">
        <f aca="false">IF($C18="Milestone",IF(AND(AA$7&lt;=$I18,AA$7+6&gt;=$I18),"◆",""),IF(AND($C18="Task",$M18&lt;&gt;"",AA$7&lt;=IF($N18="",$D$4,$N18),AA$7+6&gt;=$M18),"●",""))</f>
        <v/>
      </c>
      <c r="AB18" s="25" t="str">
        <f aca="false">IF($C18="Milestone",IF(AND(AB$7&lt;=$I18,AB$7+6&gt;=$I18),"◆",""),IF(AND($C18="Task",$M18&lt;&gt;"",AB$7&lt;=IF($N18="",$D$4,$N18),AB$7+6&gt;=$M18),"●",""))</f>
        <v/>
      </c>
      <c r="AC18" s="25" t="str">
        <f aca="false">IF($C18="Milestone",IF(AND(AC$7&lt;=$I18,AC$7+6&gt;=$I18),"◆",""),IF(AND($C18="Task",$M18&lt;&gt;"",AC$7&lt;=IF($N18="",$D$4,$N18),AC$7+6&gt;=$M18),"●",""))</f>
        <v/>
      </c>
      <c r="AD18" s="25" t="str">
        <f aca="false">IF($C18="Milestone",IF(AND(AD$7&lt;=$I18,AD$7+6&gt;=$I18),"◆",""),IF(AND($C18="Task",$M18&lt;&gt;"",AD$7&lt;=IF($N18="",$D$4,$N18),AD$7+6&gt;=$M18),"●",""))</f>
        <v/>
      </c>
      <c r="AE18" s="25" t="str">
        <f aca="false">IF($C18="Milestone",IF(AND(AE$7&lt;=$I18,AE$7+6&gt;=$I18),"◆",""),IF(AND($C18="Task",$M18&lt;&gt;"",AE$7&lt;=IF($N18="",$D$4,$N18),AE$7+6&gt;=$M18),"●",""))</f>
        <v/>
      </c>
      <c r="AF18" s="25" t="str">
        <f aca="false">IF($C18="Milestone",IF(AND(AF$7&lt;=$I18,AF$7+6&gt;=$I18),"◆",""),IF(AND($C18="Task",$M18&lt;&gt;"",AF$7&lt;=IF($N18="",$D$4,$N18),AF$7+6&gt;=$M18),"●",""))</f>
        <v/>
      </c>
      <c r="AG18" s="25" t="str">
        <f aca="false">IF($C18="Milestone",IF(AND(AG$7&lt;=$I18,AG$7+6&gt;=$I18),"◆",""),IF(AND($C18="Task",$M18&lt;&gt;"",AG$7&lt;=IF($N18="",$D$4,$N18),AG$7+6&gt;=$M18),"●",""))</f>
        <v/>
      </c>
      <c r="AH18" s="25" t="str">
        <f aca="false">IF($C18="Milestone",IF(AND(AH$7&lt;=$I18,AH$7+6&gt;=$I18),"◆",""),IF(AND($C18="Task",$M18&lt;&gt;"",AH$7&lt;=IF($N18="",$D$4,$N18),AH$7+6&gt;=$M18),"●",""))</f>
        <v/>
      </c>
      <c r="AI18" s="25" t="str">
        <f aca="false">IF($C18="Milestone",IF(AND(AI$7&lt;=$I18,AI$7+6&gt;=$I18),"◆",""),IF(AND($C18="Task",$M18&lt;&gt;"",AI$7&lt;=IF($N18="",$D$4,$N18),AI$7+6&gt;=$M18),"●",""))</f>
        <v/>
      </c>
      <c r="AJ18" s="25" t="str">
        <f aca="false">IF($C18="Milestone",IF(AND(AJ$7&lt;=$I18,AJ$7+6&gt;=$I18),"◆",""),IF(AND($C18="Task",$M18&lt;&gt;"",AJ$7&lt;=IF($N18="",$D$4,$N18),AJ$7+6&gt;=$M18),"●",""))</f>
        <v/>
      </c>
      <c r="AK18" s="25" t="str">
        <f aca="false">IF($C18="Milestone",IF(AND(AK$7&lt;=$I18,AK$7+6&gt;=$I18),"◆",""),IF(AND($C18="Task",$M18&lt;&gt;"",AK$7&lt;=IF($N18="",$D$4,$N18),AK$7+6&gt;=$M18),"●",""))</f>
        <v/>
      </c>
      <c r="AL18" s="25" t="str">
        <f aca="false">IF($C18="Milestone",IF(AND(AL$7&lt;=$I18,AL$7+6&gt;=$I18),"◆",""),IF(AND($C18="Task",$M18&lt;&gt;"",AL$7&lt;=IF($N18="",$D$4,$N18),AL$7+6&gt;=$M18),"●",""))</f>
        <v/>
      </c>
      <c r="AM18" s="25" t="str">
        <f aca="false">IF($C18="Milestone",IF(AND(AM$7&lt;=$I18,AM$7+6&gt;=$I18),"◆",""),IF(AND($C18="Task",$M18&lt;&gt;"",AM$7&lt;=IF($N18="",$D$4,$N18),AM$7+6&gt;=$M18),"●",""))</f>
        <v/>
      </c>
      <c r="AN18" s="25" t="str">
        <f aca="false">IF($C18="Milestone",IF(AND(AN$7&lt;=$I18,AN$7+6&gt;=$I18),"◆",""),IF(AND($C18="Task",$M18&lt;&gt;"",AN$7&lt;=IF($N18="",$D$4,$N18),AN$7+6&gt;=$M18),"●",""))</f>
        <v/>
      </c>
      <c r="AO18" s="25" t="str">
        <f aca="false">IF($C18="Milestone",IF(AND(AO$7&lt;=$I18,AO$7+6&gt;=$I18),"◆",""),IF(AND($C18="Task",$M18&lt;&gt;"",AO$7&lt;=IF($N18="",$D$4,$N18),AO$7+6&gt;=$M18),"●",""))</f>
        <v/>
      </c>
      <c r="AP18" s="25" t="str">
        <f aca="false">IF($C18="Milestone",IF(AND(AP$7&lt;=$I18,AP$7+6&gt;=$I18),"◆",""),IF(AND($C18="Task",$M18&lt;&gt;"",AP$7&lt;=IF($N18="",$D$4,$N18),AP$7+6&gt;=$M18),"●",""))</f>
        <v/>
      </c>
      <c r="AQ18" s="25" t="str">
        <f aca="false">IF($C18="Milestone",IF(AND(AQ$7&lt;=$I18,AQ$7+6&gt;=$I18),"◆",""),IF(AND($C18="Task",$M18&lt;&gt;"",AQ$7&lt;=IF($N18="",$D$4,$N18),AQ$7+6&gt;=$M18),"●",""))</f>
        <v/>
      </c>
      <c r="AR18" s="25" t="str">
        <f aca="false">IF($C18="Milestone",IF(AND(AR$7&lt;=$I18,AR$7+6&gt;=$I18),"◆",""),IF(AND($C18="Task",$M18&lt;&gt;"",AR$7&lt;=IF($N18="",$D$4,$N18),AR$7+6&gt;=$M18),"●",""))</f>
        <v/>
      </c>
      <c r="AS18" s="25" t="str">
        <f aca="false">IF($C18="Milestone",IF(AND(AS$7&lt;=$I18,AS$7+6&gt;=$I18),"◆",""),IF(AND($C18="Task",$M18&lt;&gt;"",AS$7&lt;=IF($N18="",$D$4,$N18),AS$7+6&gt;=$M18),"●",""))</f>
        <v/>
      </c>
      <c r="AT18" s="25" t="str">
        <f aca="false">IF($C18="Milestone",IF(AND(AT$7&lt;=$I18,AT$7+6&gt;=$I18),"◆",""),IF(AND($C18="Task",$M18&lt;&gt;"",AT$7&lt;=IF($N18="",$D$4,$N18),AT$7+6&gt;=$M18),"●",""))</f>
        <v/>
      </c>
      <c r="AU18" s="25" t="str">
        <f aca="false">IF($C18="Milestone",IF(AND(AU$7&lt;=$I18,AU$7+6&gt;=$I18),"◆",""),IF(AND($C18="Task",$M18&lt;&gt;"",AU$7&lt;=IF($N18="",$D$4,$N18),AU$7+6&gt;=$M18),"●",""))</f>
        <v/>
      </c>
      <c r="AV18" s="25" t="str">
        <f aca="false">IF($C18="Milestone",IF(AND(AV$7&lt;=$I18,AV$7+6&gt;=$I18),"◆",""),IF(AND($C18="Task",$M18&lt;&gt;"",AV$7&lt;=IF($N18="",$D$4,$N18),AV$7+6&gt;=$M18),"●",""))</f>
        <v/>
      </c>
      <c r="AW18" s="25" t="str">
        <f aca="false">IF($C18="Milestone",IF(AND(AW$7&lt;=$I18,AW$7+6&gt;=$I18),"◆",""),IF(AND($C18="Task",$M18&lt;&gt;"",AW$7&lt;=IF($N18="",$D$4,$N18),AW$7+6&gt;=$M18),"●",""))</f>
        <v/>
      </c>
      <c r="AX18" s="25" t="str">
        <f aca="false">IF($C18="Milestone",IF(AND(AX$7&lt;=$I18,AX$7+6&gt;=$I18),"◆",""),IF(AND($C18="Task",$M18&lt;&gt;"",AX$7&lt;=IF($N18="",$D$4,$N18),AX$7+6&gt;=$M18),"●",""))</f>
        <v/>
      </c>
      <c r="AY18" s="25" t="str">
        <f aca="false">IF($C18="Milestone",IF(AND(AY$7&lt;=$I18,AY$7+6&gt;=$I18),"◆",""),IF(AND($C18="Task",$M18&lt;&gt;"",AY$7&lt;=IF($N18="",$D$4,$N18),AY$7+6&gt;=$M18),"●",""))</f>
        <v/>
      </c>
      <c r="AZ18" s="25" t="str">
        <f aca="false">IF($C18="Milestone",IF(AND(AZ$7&lt;=$I18,AZ$7+6&gt;=$I18),"◆",""),IF(AND($C18="Task",$M18&lt;&gt;"",AZ$7&lt;=IF($N18="",$D$4,$N18),AZ$7+6&gt;=$M18),"●",""))</f>
        <v/>
      </c>
    </row>
    <row r="19" customFormat="false" ht="18" hidden="false" customHeight="true" outlineLevel="0" collapsed="false">
      <c r="A19" s="18" t="s">
        <v>65</v>
      </c>
      <c r="B19" s="19" t="s">
        <v>66</v>
      </c>
      <c r="C19" s="18" t="s">
        <v>20</v>
      </c>
      <c r="D19" s="18"/>
      <c r="E19" s="18" t="s">
        <v>63</v>
      </c>
      <c r="F19" s="18" t="s">
        <v>50</v>
      </c>
      <c r="G19" s="20" t="n">
        <v>46335</v>
      </c>
      <c r="H19" s="20" t="n">
        <v>46353</v>
      </c>
      <c r="I19" s="21" t="n">
        <v>46328</v>
      </c>
      <c r="J19" s="21" t="n">
        <v>46339</v>
      </c>
      <c r="K19" s="18" t="n">
        <f aca="false">IF(C19="Task",ROUND((J19-I19+3)/7,0),"")</f>
        <v>2</v>
      </c>
      <c r="L19" s="18" t="n">
        <v>2</v>
      </c>
      <c r="M19" s="21"/>
      <c r="N19" s="21"/>
      <c r="O19" s="22"/>
      <c r="P19" s="18" t="str">
        <f aca="false">IF(C19="Break","",IF(C19="Milestone",IF(N19&lt;&gt;"","Done",IF($D$4&gt;J19,"Overdue","Upcoming")),IF(N(O19)&gt;=1,"Done",IF($D$4&lt;I19,"Not started",IF($D$4&gt;J19,"Late",IF(N(O19)+0.1&lt;($D$4-I19+1)/(J19-I19+1),"Behind","On track"))))))</f>
        <v>Not started</v>
      </c>
      <c r="Q19" s="23" t="n">
        <f aca="false">IF(C19="Break","",ROUND((IF(N19&lt;&gt;"",N19,J19)-H19)/7,1))</f>
        <v>-2</v>
      </c>
      <c r="R19" s="18" t="str">
        <f aca="false">IF(C19="Milestone",IF(N19&lt;&gt;"","✓",""),IF(AND(C19="Task",N(O19)&gt;=1),"✓",""))</f>
        <v/>
      </c>
      <c r="S19" s="18" t="n">
        <f aca="false">IF(C19="Task",K19*N(O19),"")</f>
        <v>0</v>
      </c>
      <c r="T19" s="24"/>
      <c r="U19" s="25" t="str">
        <f aca="false">IF($C19="Milestone",IF(AND(U$7&lt;=$I19,U$7+6&gt;=$I19),"◆",""),IF(AND($C19="Task",$M19&lt;&gt;"",U$7&lt;=IF($N19="",$D$4,$N19),U$7+6&gt;=$M19),"●",""))</f>
        <v/>
      </c>
      <c r="V19" s="25" t="str">
        <f aca="false">IF($C19="Milestone",IF(AND(V$7&lt;=$I19,V$7+6&gt;=$I19),"◆",""),IF(AND($C19="Task",$M19&lt;&gt;"",V$7&lt;=IF($N19="",$D$4,$N19),V$7+6&gt;=$M19),"●",""))</f>
        <v/>
      </c>
      <c r="W19" s="25" t="str">
        <f aca="false">IF($C19="Milestone",IF(AND(W$7&lt;=$I19,W$7+6&gt;=$I19),"◆",""),IF(AND($C19="Task",$M19&lt;&gt;"",W$7&lt;=IF($N19="",$D$4,$N19),W$7+6&gt;=$M19),"●",""))</f>
        <v/>
      </c>
      <c r="X19" s="25" t="str">
        <f aca="false">IF($C19="Milestone",IF(AND(X$7&lt;=$I19,X$7+6&gt;=$I19),"◆",""),IF(AND($C19="Task",$M19&lt;&gt;"",X$7&lt;=IF($N19="",$D$4,$N19),X$7+6&gt;=$M19),"●",""))</f>
        <v/>
      </c>
      <c r="Y19" s="25" t="str">
        <f aca="false">IF($C19="Milestone",IF(AND(Y$7&lt;=$I19,Y$7+6&gt;=$I19),"◆",""),IF(AND($C19="Task",$M19&lt;&gt;"",Y$7&lt;=IF($N19="",$D$4,$N19),Y$7+6&gt;=$M19),"●",""))</f>
        <v/>
      </c>
      <c r="Z19" s="25" t="str">
        <f aca="false">IF($C19="Milestone",IF(AND(Z$7&lt;=$I19,Z$7+6&gt;=$I19),"◆",""),IF(AND($C19="Task",$M19&lt;&gt;"",Z$7&lt;=IF($N19="",$D$4,$N19),Z$7+6&gt;=$M19),"●",""))</f>
        <v/>
      </c>
      <c r="AA19" s="25" t="str">
        <f aca="false">IF($C19="Milestone",IF(AND(AA$7&lt;=$I19,AA$7+6&gt;=$I19),"◆",""),IF(AND($C19="Task",$M19&lt;&gt;"",AA$7&lt;=IF($N19="",$D$4,$N19),AA$7+6&gt;=$M19),"●",""))</f>
        <v/>
      </c>
      <c r="AB19" s="25" t="str">
        <f aca="false">IF($C19="Milestone",IF(AND(AB$7&lt;=$I19,AB$7+6&gt;=$I19),"◆",""),IF(AND($C19="Task",$M19&lt;&gt;"",AB$7&lt;=IF($N19="",$D$4,$N19),AB$7+6&gt;=$M19),"●",""))</f>
        <v/>
      </c>
      <c r="AC19" s="25" t="str">
        <f aca="false">IF($C19="Milestone",IF(AND(AC$7&lt;=$I19,AC$7+6&gt;=$I19),"◆",""),IF(AND($C19="Task",$M19&lt;&gt;"",AC$7&lt;=IF($N19="",$D$4,$N19),AC$7+6&gt;=$M19),"●",""))</f>
        <v/>
      </c>
      <c r="AD19" s="25" t="str">
        <f aca="false">IF($C19="Milestone",IF(AND(AD$7&lt;=$I19,AD$7+6&gt;=$I19),"◆",""),IF(AND($C19="Task",$M19&lt;&gt;"",AD$7&lt;=IF($N19="",$D$4,$N19),AD$7+6&gt;=$M19),"●",""))</f>
        <v/>
      </c>
      <c r="AE19" s="25" t="str">
        <f aca="false">IF($C19="Milestone",IF(AND(AE$7&lt;=$I19,AE$7+6&gt;=$I19),"◆",""),IF(AND($C19="Task",$M19&lt;&gt;"",AE$7&lt;=IF($N19="",$D$4,$N19),AE$7+6&gt;=$M19),"●",""))</f>
        <v/>
      </c>
      <c r="AF19" s="25" t="str">
        <f aca="false">IF($C19="Milestone",IF(AND(AF$7&lt;=$I19,AF$7+6&gt;=$I19),"◆",""),IF(AND($C19="Task",$M19&lt;&gt;"",AF$7&lt;=IF($N19="",$D$4,$N19),AF$7+6&gt;=$M19),"●",""))</f>
        <v/>
      </c>
      <c r="AG19" s="25" t="str">
        <f aca="false">IF($C19="Milestone",IF(AND(AG$7&lt;=$I19,AG$7+6&gt;=$I19),"◆",""),IF(AND($C19="Task",$M19&lt;&gt;"",AG$7&lt;=IF($N19="",$D$4,$N19),AG$7+6&gt;=$M19),"●",""))</f>
        <v/>
      </c>
      <c r="AH19" s="25" t="str">
        <f aca="false">IF($C19="Milestone",IF(AND(AH$7&lt;=$I19,AH$7+6&gt;=$I19),"◆",""),IF(AND($C19="Task",$M19&lt;&gt;"",AH$7&lt;=IF($N19="",$D$4,$N19),AH$7+6&gt;=$M19),"●",""))</f>
        <v/>
      </c>
      <c r="AI19" s="25" t="str">
        <f aca="false">IF($C19="Milestone",IF(AND(AI$7&lt;=$I19,AI$7+6&gt;=$I19),"◆",""),IF(AND($C19="Task",$M19&lt;&gt;"",AI$7&lt;=IF($N19="",$D$4,$N19),AI$7+6&gt;=$M19),"●",""))</f>
        <v/>
      </c>
      <c r="AJ19" s="25" t="str">
        <f aca="false">IF($C19="Milestone",IF(AND(AJ$7&lt;=$I19,AJ$7+6&gt;=$I19),"◆",""),IF(AND($C19="Task",$M19&lt;&gt;"",AJ$7&lt;=IF($N19="",$D$4,$N19),AJ$7+6&gt;=$M19),"●",""))</f>
        <v/>
      </c>
      <c r="AK19" s="25" t="str">
        <f aca="false">IF($C19="Milestone",IF(AND(AK$7&lt;=$I19,AK$7+6&gt;=$I19),"◆",""),IF(AND($C19="Task",$M19&lt;&gt;"",AK$7&lt;=IF($N19="",$D$4,$N19),AK$7+6&gt;=$M19),"●",""))</f>
        <v/>
      </c>
      <c r="AL19" s="25" t="str">
        <f aca="false">IF($C19="Milestone",IF(AND(AL$7&lt;=$I19,AL$7+6&gt;=$I19),"◆",""),IF(AND($C19="Task",$M19&lt;&gt;"",AL$7&lt;=IF($N19="",$D$4,$N19),AL$7+6&gt;=$M19),"●",""))</f>
        <v/>
      </c>
      <c r="AM19" s="25" t="str">
        <f aca="false">IF($C19="Milestone",IF(AND(AM$7&lt;=$I19,AM$7+6&gt;=$I19),"◆",""),IF(AND($C19="Task",$M19&lt;&gt;"",AM$7&lt;=IF($N19="",$D$4,$N19),AM$7+6&gt;=$M19),"●",""))</f>
        <v/>
      </c>
      <c r="AN19" s="25" t="str">
        <f aca="false">IF($C19="Milestone",IF(AND(AN$7&lt;=$I19,AN$7+6&gt;=$I19),"◆",""),IF(AND($C19="Task",$M19&lt;&gt;"",AN$7&lt;=IF($N19="",$D$4,$N19),AN$7+6&gt;=$M19),"●",""))</f>
        <v/>
      </c>
      <c r="AO19" s="25" t="str">
        <f aca="false">IF($C19="Milestone",IF(AND(AO$7&lt;=$I19,AO$7+6&gt;=$I19),"◆",""),IF(AND($C19="Task",$M19&lt;&gt;"",AO$7&lt;=IF($N19="",$D$4,$N19),AO$7+6&gt;=$M19),"●",""))</f>
        <v/>
      </c>
      <c r="AP19" s="25" t="str">
        <f aca="false">IF($C19="Milestone",IF(AND(AP$7&lt;=$I19,AP$7+6&gt;=$I19),"◆",""),IF(AND($C19="Task",$M19&lt;&gt;"",AP$7&lt;=IF($N19="",$D$4,$N19),AP$7+6&gt;=$M19),"●",""))</f>
        <v/>
      </c>
      <c r="AQ19" s="25" t="str">
        <f aca="false">IF($C19="Milestone",IF(AND(AQ$7&lt;=$I19,AQ$7+6&gt;=$I19),"◆",""),IF(AND($C19="Task",$M19&lt;&gt;"",AQ$7&lt;=IF($N19="",$D$4,$N19),AQ$7+6&gt;=$M19),"●",""))</f>
        <v/>
      </c>
      <c r="AR19" s="25" t="str">
        <f aca="false">IF($C19="Milestone",IF(AND(AR$7&lt;=$I19,AR$7+6&gt;=$I19),"◆",""),IF(AND($C19="Task",$M19&lt;&gt;"",AR$7&lt;=IF($N19="",$D$4,$N19),AR$7+6&gt;=$M19),"●",""))</f>
        <v/>
      </c>
      <c r="AS19" s="25" t="str">
        <f aca="false">IF($C19="Milestone",IF(AND(AS$7&lt;=$I19,AS$7+6&gt;=$I19),"◆",""),IF(AND($C19="Task",$M19&lt;&gt;"",AS$7&lt;=IF($N19="",$D$4,$N19),AS$7+6&gt;=$M19),"●",""))</f>
        <v/>
      </c>
      <c r="AT19" s="25" t="str">
        <f aca="false">IF($C19="Milestone",IF(AND(AT$7&lt;=$I19,AT$7+6&gt;=$I19),"◆",""),IF(AND($C19="Task",$M19&lt;&gt;"",AT$7&lt;=IF($N19="",$D$4,$N19),AT$7+6&gt;=$M19),"●",""))</f>
        <v/>
      </c>
      <c r="AU19" s="25" t="str">
        <f aca="false">IF($C19="Milestone",IF(AND(AU$7&lt;=$I19,AU$7+6&gt;=$I19),"◆",""),IF(AND($C19="Task",$M19&lt;&gt;"",AU$7&lt;=IF($N19="",$D$4,$N19),AU$7+6&gt;=$M19),"●",""))</f>
        <v/>
      </c>
      <c r="AV19" s="25" t="str">
        <f aca="false">IF($C19="Milestone",IF(AND(AV$7&lt;=$I19,AV$7+6&gt;=$I19),"◆",""),IF(AND($C19="Task",$M19&lt;&gt;"",AV$7&lt;=IF($N19="",$D$4,$N19),AV$7+6&gt;=$M19),"●",""))</f>
        <v/>
      </c>
      <c r="AW19" s="25" t="str">
        <f aca="false">IF($C19="Milestone",IF(AND(AW$7&lt;=$I19,AW$7+6&gt;=$I19),"◆",""),IF(AND($C19="Task",$M19&lt;&gt;"",AW$7&lt;=IF($N19="",$D$4,$N19),AW$7+6&gt;=$M19),"●",""))</f>
        <v/>
      </c>
      <c r="AX19" s="25" t="str">
        <f aca="false">IF($C19="Milestone",IF(AND(AX$7&lt;=$I19,AX$7+6&gt;=$I19),"◆",""),IF(AND($C19="Task",$M19&lt;&gt;"",AX$7&lt;=IF($N19="",$D$4,$N19),AX$7+6&gt;=$M19),"●",""))</f>
        <v/>
      </c>
      <c r="AY19" s="25" t="str">
        <f aca="false">IF($C19="Milestone",IF(AND(AY$7&lt;=$I19,AY$7+6&gt;=$I19),"◆",""),IF(AND($C19="Task",$M19&lt;&gt;"",AY$7&lt;=IF($N19="",$D$4,$N19),AY$7+6&gt;=$M19),"●",""))</f>
        <v/>
      </c>
      <c r="AZ19" s="25" t="str">
        <f aca="false">IF($C19="Milestone",IF(AND(AZ$7&lt;=$I19,AZ$7+6&gt;=$I19),"◆",""),IF(AND($C19="Task",$M19&lt;&gt;"",AZ$7&lt;=IF($N19="",$D$4,$N19),AZ$7+6&gt;=$M19),"●",""))</f>
        <v/>
      </c>
    </row>
    <row r="20" customFormat="false" ht="18" hidden="false" customHeight="true" outlineLevel="0" collapsed="false">
      <c r="A20" s="18" t="s">
        <v>67</v>
      </c>
      <c r="B20" s="19" t="s">
        <v>68</v>
      </c>
      <c r="C20" s="18" t="s">
        <v>20</v>
      </c>
      <c r="D20" s="18"/>
      <c r="E20" s="18" t="s">
        <v>65</v>
      </c>
      <c r="F20" s="18" t="s">
        <v>50</v>
      </c>
      <c r="G20" s="20" t="n">
        <v>46356</v>
      </c>
      <c r="H20" s="20" t="n">
        <v>46374</v>
      </c>
      <c r="I20" s="21" t="n">
        <v>46342</v>
      </c>
      <c r="J20" s="21" t="n">
        <v>46353</v>
      </c>
      <c r="K20" s="18" t="n">
        <f aca="false">IF(C20="Task",ROUND((J20-I20+3)/7,0),"")</f>
        <v>2</v>
      </c>
      <c r="L20" s="18" t="n">
        <v>0</v>
      </c>
      <c r="M20" s="21"/>
      <c r="N20" s="21"/>
      <c r="O20" s="22"/>
      <c r="P20" s="18" t="str">
        <f aca="false">IF(C20="Break","",IF(C20="Milestone",IF(N20&lt;&gt;"","Done",IF($D$4&gt;J20,"Overdue","Upcoming")),IF(N(O20)&gt;=1,"Done",IF($D$4&lt;I20,"Not started",IF($D$4&gt;J20,"Late",IF(N(O20)+0.1&lt;($D$4-I20+1)/(J20-I20+1),"Behind","On track"))))))</f>
        <v>Not started</v>
      </c>
      <c r="Q20" s="23" t="n">
        <f aca="false">IF(C20="Break","",ROUND((IF(N20&lt;&gt;"",N20,J20)-H20)/7,1))</f>
        <v>-3</v>
      </c>
      <c r="R20" s="18" t="str">
        <f aca="false">IF(C20="Milestone",IF(N20&lt;&gt;"","✓",""),IF(AND(C20="Task",N(O20)&gt;=1),"✓",""))</f>
        <v/>
      </c>
      <c r="S20" s="18" t="n">
        <f aca="false">IF(C20="Task",K20*N(O20),"")</f>
        <v>0</v>
      </c>
      <c r="T20" s="24"/>
      <c r="U20" s="25" t="str">
        <f aca="false">IF($C20="Milestone",IF(AND(U$7&lt;=$I20,U$7+6&gt;=$I20),"◆",""),IF(AND($C20="Task",$M20&lt;&gt;"",U$7&lt;=IF($N20="",$D$4,$N20),U$7+6&gt;=$M20),"●",""))</f>
        <v/>
      </c>
      <c r="V20" s="25" t="str">
        <f aca="false">IF($C20="Milestone",IF(AND(V$7&lt;=$I20,V$7+6&gt;=$I20),"◆",""),IF(AND($C20="Task",$M20&lt;&gt;"",V$7&lt;=IF($N20="",$D$4,$N20),V$7+6&gt;=$M20),"●",""))</f>
        <v/>
      </c>
      <c r="W20" s="25" t="str">
        <f aca="false">IF($C20="Milestone",IF(AND(W$7&lt;=$I20,W$7+6&gt;=$I20),"◆",""),IF(AND($C20="Task",$M20&lt;&gt;"",W$7&lt;=IF($N20="",$D$4,$N20),W$7+6&gt;=$M20),"●",""))</f>
        <v/>
      </c>
      <c r="X20" s="25" t="str">
        <f aca="false">IF($C20="Milestone",IF(AND(X$7&lt;=$I20,X$7+6&gt;=$I20),"◆",""),IF(AND($C20="Task",$M20&lt;&gt;"",X$7&lt;=IF($N20="",$D$4,$N20),X$7+6&gt;=$M20),"●",""))</f>
        <v/>
      </c>
      <c r="Y20" s="25" t="str">
        <f aca="false">IF($C20="Milestone",IF(AND(Y$7&lt;=$I20,Y$7+6&gt;=$I20),"◆",""),IF(AND($C20="Task",$M20&lt;&gt;"",Y$7&lt;=IF($N20="",$D$4,$N20),Y$7+6&gt;=$M20),"●",""))</f>
        <v/>
      </c>
      <c r="Z20" s="25" t="str">
        <f aca="false">IF($C20="Milestone",IF(AND(Z$7&lt;=$I20,Z$7+6&gt;=$I20),"◆",""),IF(AND($C20="Task",$M20&lt;&gt;"",Z$7&lt;=IF($N20="",$D$4,$N20),Z$7+6&gt;=$M20),"●",""))</f>
        <v/>
      </c>
      <c r="AA20" s="25" t="str">
        <f aca="false">IF($C20="Milestone",IF(AND(AA$7&lt;=$I20,AA$7+6&gt;=$I20),"◆",""),IF(AND($C20="Task",$M20&lt;&gt;"",AA$7&lt;=IF($N20="",$D$4,$N20),AA$7+6&gt;=$M20),"●",""))</f>
        <v/>
      </c>
      <c r="AB20" s="25" t="str">
        <f aca="false">IF($C20="Milestone",IF(AND(AB$7&lt;=$I20,AB$7+6&gt;=$I20),"◆",""),IF(AND($C20="Task",$M20&lt;&gt;"",AB$7&lt;=IF($N20="",$D$4,$N20),AB$7+6&gt;=$M20),"●",""))</f>
        <v/>
      </c>
      <c r="AC20" s="25" t="str">
        <f aca="false">IF($C20="Milestone",IF(AND(AC$7&lt;=$I20,AC$7+6&gt;=$I20),"◆",""),IF(AND($C20="Task",$M20&lt;&gt;"",AC$7&lt;=IF($N20="",$D$4,$N20),AC$7+6&gt;=$M20),"●",""))</f>
        <v/>
      </c>
      <c r="AD20" s="25" t="str">
        <f aca="false">IF($C20="Milestone",IF(AND(AD$7&lt;=$I20,AD$7+6&gt;=$I20),"◆",""),IF(AND($C20="Task",$M20&lt;&gt;"",AD$7&lt;=IF($N20="",$D$4,$N20),AD$7+6&gt;=$M20),"●",""))</f>
        <v/>
      </c>
      <c r="AE20" s="25" t="str">
        <f aca="false">IF($C20="Milestone",IF(AND(AE$7&lt;=$I20,AE$7+6&gt;=$I20),"◆",""),IF(AND($C20="Task",$M20&lt;&gt;"",AE$7&lt;=IF($N20="",$D$4,$N20),AE$7+6&gt;=$M20),"●",""))</f>
        <v/>
      </c>
      <c r="AF20" s="25" t="str">
        <f aca="false">IF($C20="Milestone",IF(AND(AF$7&lt;=$I20,AF$7+6&gt;=$I20),"◆",""),IF(AND($C20="Task",$M20&lt;&gt;"",AF$7&lt;=IF($N20="",$D$4,$N20),AF$7+6&gt;=$M20),"●",""))</f>
        <v/>
      </c>
      <c r="AG20" s="25" t="str">
        <f aca="false">IF($C20="Milestone",IF(AND(AG$7&lt;=$I20,AG$7+6&gt;=$I20),"◆",""),IF(AND($C20="Task",$M20&lt;&gt;"",AG$7&lt;=IF($N20="",$D$4,$N20),AG$7+6&gt;=$M20),"●",""))</f>
        <v/>
      </c>
      <c r="AH20" s="25" t="str">
        <f aca="false">IF($C20="Milestone",IF(AND(AH$7&lt;=$I20,AH$7+6&gt;=$I20),"◆",""),IF(AND($C20="Task",$M20&lt;&gt;"",AH$7&lt;=IF($N20="",$D$4,$N20),AH$7+6&gt;=$M20),"●",""))</f>
        <v/>
      </c>
      <c r="AI20" s="25" t="str">
        <f aca="false">IF($C20="Milestone",IF(AND(AI$7&lt;=$I20,AI$7+6&gt;=$I20),"◆",""),IF(AND($C20="Task",$M20&lt;&gt;"",AI$7&lt;=IF($N20="",$D$4,$N20),AI$7+6&gt;=$M20),"●",""))</f>
        <v/>
      </c>
      <c r="AJ20" s="25" t="str">
        <f aca="false">IF($C20="Milestone",IF(AND(AJ$7&lt;=$I20,AJ$7+6&gt;=$I20),"◆",""),IF(AND($C20="Task",$M20&lt;&gt;"",AJ$7&lt;=IF($N20="",$D$4,$N20),AJ$7+6&gt;=$M20),"●",""))</f>
        <v/>
      </c>
      <c r="AK20" s="25" t="str">
        <f aca="false">IF($C20="Milestone",IF(AND(AK$7&lt;=$I20,AK$7+6&gt;=$I20),"◆",""),IF(AND($C20="Task",$M20&lt;&gt;"",AK$7&lt;=IF($N20="",$D$4,$N20),AK$7+6&gt;=$M20),"●",""))</f>
        <v/>
      </c>
      <c r="AL20" s="25" t="str">
        <f aca="false">IF($C20="Milestone",IF(AND(AL$7&lt;=$I20,AL$7+6&gt;=$I20),"◆",""),IF(AND($C20="Task",$M20&lt;&gt;"",AL$7&lt;=IF($N20="",$D$4,$N20),AL$7+6&gt;=$M20),"●",""))</f>
        <v/>
      </c>
      <c r="AM20" s="25" t="str">
        <f aca="false">IF($C20="Milestone",IF(AND(AM$7&lt;=$I20,AM$7+6&gt;=$I20),"◆",""),IF(AND($C20="Task",$M20&lt;&gt;"",AM$7&lt;=IF($N20="",$D$4,$N20),AM$7+6&gt;=$M20),"●",""))</f>
        <v/>
      </c>
      <c r="AN20" s="25" t="str">
        <f aca="false">IF($C20="Milestone",IF(AND(AN$7&lt;=$I20,AN$7+6&gt;=$I20),"◆",""),IF(AND($C20="Task",$M20&lt;&gt;"",AN$7&lt;=IF($N20="",$D$4,$N20),AN$7+6&gt;=$M20),"●",""))</f>
        <v/>
      </c>
      <c r="AO20" s="25" t="str">
        <f aca="false">IF($C20="Milestone",IF(AND(AO$7&lt;=$I20,AO$7+6&gt;=$I20),"◆",""),IF(AND($C20="Task",$M20&lt;&gt;"",AO$7&lt;=IF($N20="",$D$4,$N20),AO$7+6&gt;=$M20),"●",""))</f>
        <v/>
      </c>
      <c r="AP20" s="25" t="str">
        <f aca="false">IF($C20="Milestone",IF(AND(AP$7&lt;=$I20,AP$7+6&gt;=$I20),"◆",""),IF(AND($C20="Task",$M20&lt;&gt;"",AP$7&lt;=IF($N20="",$D$4,$N20),AP$7+6&gt;=$M20),"●",""))</f>
        <v/>
      </c>
      <c r="AQ20" s="25" t="str">
        <f aca="false">IF($C20="Milestone",IF(AND(AQ$7&lt;=$I20,AQ$7+6&gt;=$I20),"◆",""),IF(AND($C20="Task",$M20&lt;&gt;"",AQ$7&lt;=IF($N20="",$D$4,$N20),AQ$7+6&gt;=$M20),"●",""))</f>
        <v/>
      </c>
      <c r="AR20" s="25" t="str">
        <f aca="false">IF($C20="Milestone",IF(AND(AR$7&lt;=$I20,AR$7+6&gt;=$I20),"◆",""),IF(AND($C20="Task",$M20&lt;&gt;"",AR$7&lt;=IF($N20="",$D$4,$N20),AR$7+6&gt;=$M20),"●",""))</f>
        <v/>
      </c>
      <c r="AS20" s="25" t="str">
        <f aca="false">IF($C20="Milestone",IF(AND(AS$7&lt;=$I20,AS$7+6&gt;=$I20),"◆",""),IF(AND($C20="Task",$M20&lt;&gt;"",AS$7&lt;=IF($N20="",$D$4,$N20),AS$7+6&gt;=$M20),"●",""))</f>
        <v/>
      </c>
      <c r="AT20" s="25" t="str">
        <f aca="false">IF($C20="Milestone",IF(AND(AT$7&lt;=$I20,AT$7+6&gt;=$I20),"◆",""),IF(AND($C20="Task",$M20&lt;&gt;"",AT$7&lt;=IF($N20="",$D$4,$N20),AT$7+6&gt;=$M20),"●",""))</f>
        <v/>
      </c>
      <c r="AU20" s="25" t="str">
        <f aca="false">IF($C20="Milestone",IF(AND(AU$7&lt;=$I20,AU$7+6&gt;=$I20),"◆",""),IF(AND($C20="Task",$M20&lt;&gt;"",AU$7&lt;=IF($N20="",$D$4,$N20),AU$7+6&gt;=$M20),"●",""))</f>
        <v/>
      </c>
      <c r="AV20" s="25" t="str">
        <f aca="false">IF($C20="Milestone",IF(AND(AV$7&lt;=$I20,AV$7+6&gt;=$I20),"◆",""),IF(AND($C20="Task",$M20&lt;&gt;"",AV$7&lt;=IF($N20="",$D$4,$N20),AV$7+6&gt;=$M20),"●",""))</f>
        <v/>
      </c>
      <c r="AW20" s="25" t="str">
        <f aca="false">IF($C20="Milestone",IF(AND(AW$7&lt;=$I20,AW$7+6&gt;=$I20),"◆",""),IF(AND($C20="Task",$M20&lt;&gt;"",AW$7&lt;=IF($N20="",$D$4,$N20),AW$7+6&gt;=$M20),"●",""))</f>
        <v/>
      </c>
      <c r="AX20" s="25" t="str">
        <f aca="false">IF($C20="Milestone",IF(AND(AX$7&lt;=$I20,AX$7+6&gt;=$I20),"◆",""),IF(AND($C20="Task",$M20&lt;&gt;"",AX$7&lt;=IF($N20="",$D$4,$N20),AX$7+6&gt;=$M20),"●",""))</f>
        <v/>
      </c>
      <c r="AY20" s="25" t="str">
        <f aca="false">IF($C20="Milestone",IF(AND(AY$7&lt;=$I20,AY$7+6&gt;=$I20),"◆",""),IF(AND($C20="Task",$M20&lt;&gt;"",AY$7&lt;=IF($N20="",$D$4,$N20),AY$7+6&gt;=$M20),"●",""))</f>
        <v/>
      </c>
      <c r="AZ20" s="25" t="str">
        <f aca="false">IF($C20="Milestone",IF(AND(AZ$7&lt;=$I20,AZ$7+6&gt;=$I20),"◆",""),IF(AND($C20="Task",$M20&lt;&gt;"",AZ$7&lt;=IF($N20="",$D$4,$N20),AZ$7+6&gt;=$M20),"●",""))</f>
        <v/>
      </c>
    </row>
    <row r="21" customFormat="false" ht="18" hidden="false" customHeight="true" outlineLevel="0" collapsed="false">
      <c r="A21" s="18" t="s">
        <v>69</v>
      </c>
      <c r="B21" s="19" t="s">
        <v>70</v>
      </c>
      <c r="C21" s="18" t="s">
        <v>43</v>
      </c>
      <c r="D21" s="18"/>
      <c r="E21" s="18" t="s">
        <v>67</v>
      </c>
      <c r="F21" s="18" t="s">
        <v>50</v>
      </c>
      <c r="G21" s="20" t="n">
        <v>46374</v>
      </c>
      <c r="H21" s="20" t="n">
        <v>46374</v>
      </c>
      <c r="I21" s="21" t="n">
        <v>46353</v>
      </c>
      <c r="J21" s="21" t="n">
        <v>46353</v>
      </c>
      <c r="K21" s="18" t="str">
        <f aca="false">IF(C21="Task",ROUND((J21-I21+3)/7,0),"")</f>
        <v/>
      </c>
      <c r="L21" s="18"/>
      <c r="M21" s="21"/>
      <c r="N21" s="21"/>
      <c r="O21" s="22"/>
      <c r="P21" s="18" t="str">
        <f aca="false">IF(C21="Break","",IF(C21="Milestone",IF(N21&lt;&gt;"","Done",IF($D$4&gt;J21,"Overdue","Upcoming")),IF(N(O21)&gt;=1,"Done",IF($D$4&lt;I21,"Not started",IF($D$4&gt;J21,"Late",IF(N(O21)+0.1&lt;($D$4-I21+1)/(J21-I21+1),"Behind","On track"))))))</f>
        <v>Upcoming</v>
      </c>
      <c r="Q21" s="23" t="n">
        <f aca="false">IF(C21="Break","",ROUND((IF(N21&lt;&gt;"",N21,J21)-H21)/7,1))</f>
        <v>-3</v>
      </c>
      <c r="R21" s="18" t="str">
        <f aca="false">IF(C21="Milestone",IF(N21&lt;&gt;"","✓",""),IF(AND(C21="Task",N(O21)&gt;=1),"✓",""))</f>
        <v/>
      </c>
      <c r="S21" s="18" t="str">
        <f aca="false">IF(C21="Task",K21*N(O21),"")</f>
        <v/>
      </c>
      <c r="T21" s="24"/>
      <c r="U21" s="25" t="str">
        <f aca="false">IF($C21="Milestone",IF(AND(U$7&lt;=$I21,U$7+6&gt;=$I21),"◆",""),IF(AND($C21="Task",$M21&lt;&gt;"",U$7&lt;=IF($N21="",$D$4,$N21),U$7+6&gt;=$M21),"●",""))</f>
        <v/>
      </c>
      <c r="V21" s="25" t="str">
        <f aca="false">IF($C21="Milestone",IF(AND(V$7&lt;=$I21,V$7+6&gt;=$I21),"◆",""),IF(AND($C21="Task",$M21&lt;&gt;"",V$7&lt;=IF($N21="",$D$4,$N21),V$7+6&gt;=$M21),"●",""))</f>
        <v/>
      </c>
      <c r="W21" s="25" t="str">
        <f aca="false">IF($C21="Milestone",IF(AND(W$7&lt;=$I21,W$7+6&gt;=$I21),"◆",""),IF(AND($C21="Task",$M21&lt;&gt;"",W$7&lt;=IF($N21="",$D$4,$N21),W$7+6&gt;=$M21),"●",""))</f>
        <v/>
      </c>
      <c r="X21" s="25" t="str">
        <f aca="false">IF($C21="Milestone",IF(AND(X$7&lt;=$I21,X$7+6&gt;=$I21),"◆",""),IF(AND($C21="Task",$M21&lt;&gt;"",X$7&lt;=IF($N21="",$D$4,$N21),X$7+6&gt;=$M21),"●",""))</f>
        <v/>
      </c>
      <c r="Y21" s="25" t="str">
        <f aca="false">IF($C21="Milestone",IF(AND(Y$7&lt;=$I21,Y$7+6&gt;=$I21),"◆",""),IF(AND($C21="Task",$M21&lt;&gt;"",Y$7&lt;=IF($N21="",$D$4,$N21),Y$7+6&gt;=$M21),"●",""))</f>
        <v/>
      </c>
      <c r="Z21" s="25" t="str">
        <f aca="false">IF($C21="Milestone",IF(AND(Z$7&lt;=$I21,Z$7+6&gt;=$I21),"◆",""),IF(AND($C21="Task",$M21&lt;&gt;"",Z$7&lt;=IF($N21="",$D$4,$N21),Z$7+6&gt;=$M21),"●",""))</f>
        <v>◆</v>
      </c>
      <c r="AA21" s="25" t="str">
        <f aca="false">IF($C21="Milestone",IF(AND(AA$7&lt;=$I21,AA$7+6&gt;=$I21),"◆",""),IF(AND($C21="Task",$M21&lt;&gt;"",AA$7&lt;=IF($N21="",$D$4,$N21),AA$7+6&gt;=$M21),"●",""))</f>
        <v/>
      </c>
      <c r="AB21" s="25" t="str">
        <f aca="false">IF($C21="Milestone",IF(AND(AB$7&lt;=$I21,AB$7+6&gt;=$I21),"◆",""),IF(AND($C21="Task",$M21&lt;&gt;"",AB$7&lt;=IF($N21="",$D$4,$N21),AB$7+6&gt;=$M21),"●",""))</f>
        <v/>
      </c>
      <c r="AC21" s="25" t="str">
        <f aca="false">IF($C21="Milestone",IF(AND(AC$7&lt;=$I21,AC$7+6&gt;=$I21),"◆",""),IF(AND($C21="Task",$M21&lt;&gt;"",AC$7&lt;=IF($N21="",$D$4,$N21),AC$7+6&gt;=$M21),"●",""))</f>
        <v/>
      </c>
      <c r="AD21" s="25" t="str">
        <f aca="false">IF($C21="Milestone",IF(AND(AD$7&lt;=$I21,AD$7+6&gt;=$I21),"◆",""),IF(AND($C21="Task",$M21&lt;&gt;"",AD$7&lt;=IF($N21="",$D$4,$N21),AD$7+6&gt;=$M21),"●",""))</f>
        <v/>
      </c>
      <c r="AE21" s="25" t="str">
        <f aca="false">IF($C21="Milestone",IF(AND(AE$7&lt;=$I21,AE$7+6&gt;=$I21),"◆",""),IF(AND($C21="Task",$M21&lt;&gt;"",AE$7&lt;=IF($N21="",$D$4,$N21),AE$7+6&gt;=$M21),"●",""))</f>
        <v/>
      </c>
      <c r="AF21" s="25" t="str">
        <f aca="false">IF($C21="Milestone",IF(AND(AF$7&lt;=$I21,AF$7+6&gt;=$I21),"◆",""),IF(AND($C21="Task",$M21&lt;&gt;"",AF$7&lt;=IF($N21="",$D$4,$N21),AF$7+6&gt;=$M21),"●",""))</f>
        <v/>
      </c>
      <c r="AG21" s="25" t="str">
        <f aca="false">IF($C21="Milestone",IF(AND(AG$7&lt;=$I21,AG$7+6&gt;=$I21),"◆",""),IF(AND($C21="Task",$M21&lt;&gt;"",AG$7&lt;=IF($N21="",$D$4,$N21),AG$7+6&gt;=$M21),"●",""))</f>
        <v/>
      </c>
      <c r="AH21" s="25" t="str">
        <f aca="false">IF($C21="Milestone",IF(AND(AH$7&lt;=$I21,AH$7+6&gt;=$I21),"◆",""),IF(AND($C21="Task",$M21&lt;&gt;"",AH$7&lt;=IF($N21="",$D$4,$N21),AH$7+6&gt;=$M21),"●",""))</f>
        <v/>
      </c>
      <c r="AI21" s="25" t="str">
        <f aca="false">IF($C21="Milestone",IF(AND(AI$7&lt;=$I21,AI$7+6&gt;=$I21),"◆",""),IF(AND($C21="Task",$M21&lt;&gt;"",AI$7&lt;=IF($N21="",$D$4,$N21),AI$7+6&gt;=$M21),"●",""))</f>
        <v/>
      </c>
      <c r="AJ21" s="25" t="str">
        <f aca="false">IF($C21="Milestone",IF(AND(AJ$7&lt;=$I21,AJ$7+6&gt;=$I21),"◆",""),IF(AND($C21="Task",$M21&lt;&gt;"",AJ$7&lt;=IF($N21="",$D$4,$N21),AJ$7+6&gt;=$M21),"●",""))</f>
        <v/>
      </c>
      <c r="AK21" s="25" t="str">
        <f aca="false">IF($C21="Milestone",IF(AND(AK$7&lt;=$I21,AK$7+6&gt;=$I21),"◆",""),IF(AND($C21="Task",$M21&lt;&gt;"",AK$7&lt;=IF($N21="",$D$4,$N21),AK$7+6&gt;=$M21),"●",""))</f>
        <v/>
      </c>
      <c r="AL21" s="25" t="str">
        <f aca="false">IF($C21="Milestone",IF(AND(AL$7&lt;=$I21,AL$7+6&gt;=$I21),"◆",""),IF(AND($C21="Task",$M21&lt;&gt;"",AL$7&lt;=IF($N21="",$D$4,$N21),AL$7+6&gt;=$M21),"●",""))</f>
        <v/>
      </c>
      <c r="AM21" s="25" t="str">
        <f aca="false">IF($C21="Milestone",IF(AND(AM$7&lt;=$I21,AM$7+6&gt;=$I21),"◆",""),IF(AND($C21="Task",$M21&lt;&gt;"",AM$7&lt;=IF($N21="",$D$4,$N21),AM$7+6&gt;=$M21),"●",""))</f>
        <v/>
      </c>
      <c r="AN21" s="25" t="str">
        <f aca="false">IF($C21="Milestone",IF(AND(AN$7&lt;=$I21,AN$7+6&gt;=$I21),"◆",""),IF(AND($C21="Task",$M21&lt;&gt;"",AN$7&lt;=IF($N21="",$D$4,$N21),AN$7+6&gt;=$M21),"●",""))</f>
        <v/>
      </c>
      <c r="AO21" s="25" t="str">
        <f aca="false">IF($C21="Milestone",IF(AND(AO$7&lt;=$I21,AO$7+6&gt;=$I21),"◆",""),IF(AND($C21="Task",$M21&lt;&gt;"",AO$7&lt;=IF($N21="",$D$4,$N21),AO$7+6&gt;=$M21),"●",""))</f>
        <v/>
      </c>
      <c r="AP21" s="25" t="str">
        <f aca="false">IF($C21="Milestone",IF(AND(AP$7&lt;=$I21,AP$7+6&gt;=$I21),"◆",""),IF(AND($C21="Task",$M21&lt;&gt;"",AP$7&lt;=IF($N21="",$D$4,$N21),AP$7+6&gt;=$M21),"●",""))</f>
        <v/>
      </c>
      <c r="AQ21" s="25" t="str">
        <f aca="false">IF($C21="Milestone",IF(AND(AQ$7&lt;=$I21,AQ$7+6&gt;=$I21),"◆",""),IF(AND($C21="Task",$M21&lt;&gt;"",AQ$7&lt;=IF($N21="",$D$4,$N21),AQ$7+6&gt;=$M21),"●",""))</f>
        <v/>
      </c>
      <c r="AR21" s="25" t="str">
        <f aca="false">IF($C21="Milestone",IF(AND(AR$7&lt;=$I21,AR$7+6&gt;=$I21),"◆",""),IF(AND($C21="Task",$M21&lt;&gt;"",AR$7&lt;=IF($N21="",$D$4,$N21),AR$7+6&gt;=$M21),"●",""))</f>
        <v/>
      </c>
      <c r="AS21" s="25" t="str">
        <f aca="false">IF($C21="Milestone",IF(AND(AS$7&lt;=$I21,AS$7+6&gt;=$I21),"◆",""),IF(AND($C21="Task",$M21&lt;&gt;"",AS$7&lt;=IF($N21="",$D$4,$N21),AS$7+6&gt;=$M21),"●",""))</f>
        <v/>
      </c>
      <c r="AT21" s="25" t="str">
        <f aca="false">IF($C21="Milestone",IF(AND(AT$7&lt;=$I21,AT$7+6&gt;=$I21),"◆",""),IF(AND($C21="Task",$M21&lt;&gt;"",AT$7&lt;=IF($N21="",$D$4,$N21),AT$7+6&gt;=$M21),"●",""))</f>
        <v/>
      </c>
      <c r="AU21" s="25" t="str">
        <f aca="false">IF($C21="Milestone",IF(AND(AU$7&lt;=$I21,AU$7+6&gt;=$I21),"◆",""),IF(AND($C21="Task",$M21&lt;&gt;"",AU$7&lt;=IF($N21="",$D$4,$N21),AU$7+6&gt;=$M21),"●",""))</f>
        <v/>
      </c>
      <c r="AV21" s="25" t="str">
        <f aca="false">IF($C21="Milestone",IF(AND(AV$7&lt;=$I21,AV$7+6&gt;=$I21),"◆",""),IF(AND($C21="Task",$M21&lt;&gt;"",AV$7&lt;=IF($N21="",$D$4,$N21),AV$7+6&gt;=$M21),"●",""))</f>
        <v/>
      </c>
      <c r="AW21" s="25" t="str">
        <f aca="false">IF($C21="Milestone",IF(AND(AW$7&lt;=$I21,AW$7+6&gt;=$I21),"◆",""),IF(AND($C21="Task",$M21&lt;&gt;"",AW$7&lt;=IF($N21="",$D$4,$N21),AW$7+6&gt;=$M21),"●",""))</f>
        <v/>
      </c>
      <c r="AX21" s="25" t="str">
        <f aca="false">IF($C21="Milestone",IF(AND(AX$7&lt;=$I21,AX$7+6&gt;=$I21),"◆",""),IF(AND($C21="Task",$M21&lt;&gt;"",AX$7&lt;=IF($N21="",$D$4,$N21),AX$7+6&gt;=$M21),"●",""))</f>
        <v/>
      </c>
      <c r="AY21" s="25" t="str">
        <f aca="false">IF($C21="Milestone",IF(AND(AY$7&lt;=$I21,AY$7+6&gt;=$I21),"◆",""),IF(AND($C21="Task",$M21&lt;&gt;"",AY$7&lt;=IF($N21="",$D$4,$N21),AY$7+6&gt;=$M21),"●",""))</f>
        <v/>
      </c>
      <c r="AZ21" s="25" t="str">
        <f aca="false">IF($C21="Milestone",IF(AND(AZ$7&lt;=$I21,AZ$7+6&gt;=$I21),"◆",""),IF(AND($C21="Task",$M21&lt;&gt;"",AZ$7&lt;=IF($N21="",$D$4,$N21),AZ$7+6&gt;=$M21),"●",""))</f>
        <v/>
      </c>
    </row>
    <row r="22" customFormat="false" ht="15" hidden="false" customHeight="false" outlineLevel="0" collapsed="false">
      <c r="A22" s="15"/>
      <c r="B22" s="16" t="s">
        <v>71</v>
      </c>
      <c r="C22" s="17" t="s">
        <v>40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</row>
    <row r="23" customFormat="false" ht="18" hidden="false" customHeight="true" outlineLevel="0" collapsed="false">
      <c r="A23" s="18" t="s">
        <v>72</v>
      </c>
      <c r="B23" s="19" t="s">
        <v>73</v>
      </c>
      <c r="C23" s="18" t="s">
        <v>20</v>
      </c>
      <c r="D23" s="18" t="s">
        <v>74</v>
      </c>
      <c r="E23" s="18"/>
      <c r="F23" s="18" t="s">
        <v>50</v>
      </c>
      <c r="G23" s="20" t="n">
        <v>46321</v>
      </c>
      <c r="H23" s="20" t="n">
        <v>46325</v>
      </c>
      <c r="I23" s="21" t="n">
        <v>46314</v>
      </c>
      <c r="J23" s="21" t="n">
        <v>46325</v>
      </c>
      <c r="K23" s="18" t="n">
        <f aca="false">IF(C23="Task",ROUND((J23-I23+3)/7,0),"")</f>
        <v>2</v>
      </c>
      <c r="L23" s="18" t="n">
        <v>1</v>
      </c>
      <c r="M23" s="21"/>
      <c r="N23" s="21"/>
      <c r="O23" s="22"/>
      <c r="P23" s="18" t="str">
        <f aca="false">IF(C23="Break","",IF(C23="Milestone",IF(N23&lt;&gt;"","Done",IF($D$4&gt;J23,"Overdue","Upcoming")),IF(N(O23)&gt;=1,"Done",IF($D$4&lt;I23,"Not started",IF($D$4&gt;J23,"Late",IF(N(O23)+0.1&lt;($D$4-I23+1)/(J23-I23+1),"Behind","On track"))))))</f>
        <v>Behind</v>
      </c>
      <c r="Q23" s="23" t="n">
        <f aca="false">IF(C23="Break","",ROUND((IF(N23&lt;&gt;"",N23,J23)-H23)/7,1))</f>
        <v>0</v>
      </c>
      <c r="R23" s="18" t="str">
        <f aca="false">IF(C23="Milestone",IF(N23&lt;&gt;"","✓",""),IF(AND(C23="Task",N(O23)&gt;=1),"✓",""))</f>
        <v/>
      </c>
      <c r="S23" s="18" t="n">
        <f aca="false">IF(C23="Task",K23*N(O23),"")</f>
        <v>0</v>
      </c>
      <c r="T23" s="24"/>
      <c r="U23" s="25" t="str">
        <f aca="false">IF($C23="Milestone",IF(AND(U$7&lt;=$I23,U$7+6&gt;=$I23),"◆",""),IF(AND($C23="Task",$M23&lt;&gt;"",U$7&lt;=IF($N23="",$D$4,$N23),U$7+6&gt;=$M23),"●",""))</f>
        <v/>
      </c>
      <c r="V23" s="25" t="str">
        <f aca="false">IF($C23="Milestone",IF(AND(V$7&lt;=$I23,V$7+6&gt;=$I23),"◆",""),IF(AND($C23="Task",$M23&lt;&gt;"",V$7&lt;=IF($N23="",$D$4,$N23),V$7+6&gt;=$M23),"●",""))</f>
        <v/>
      </c>
      <c r="W23" s="25" t="str">
        <f aca="false">IF($C23="Milestone",IF(AND(W$7&lt;=$I23,W$7+6&gt;=$I23),"◆",""),IF(AND($C23="Task",$M23&lt;&gt;"",W$7&lt;=IF($N23="",$D$4,$N23),W$7+6&gt;=$M23),"●",""))</f>
        <v/>
      </c>
      <c r="X23" s="25" t="str">
        <f aca="false">IF($C23="Milestone",IF(AND(X$7&lt;=$I23,X$7+6&gt;=$I23),"◆",""),IF(AND($C23="Task",$M23&lt;&gt;"",X$7&lt;=IF($N23="",$D$4,$N23),X$7+6&gt;=$M23),"●",""))</f>
        <v/>
      </c>
      <c r="Y23" s="25" t="str">
        <f aca="false">IF($C23="Milestone",IF(AND(Y$7&lt;=$I23,Y$7+6&gt;=$I23),"◆",""),IF(AND($C23="Task",$M23&lt;&gt;"",Y$7&lt;=IF($N23="",$D$4,$N23),Y$7+6&gt;=$M23),"●",""))</f>
        <v/>
      </c>
      <c r="Z23" s="25" t="str">
        <f aca="false">IF($C23="Milestone",IF(AND(Z$7&lt;=$I23,Z$7+6&gt;=$I23),"◆",""),IF(AND($C23="Task",$M23&lt;&gt;"",Z$7&lt;=IF($N23="",$D$4,$N23),Z$7+6&gt;=$M23),"●",""))</f>
        <v/>
      </c>
      <c r="AA23" s="25" t="str">
        <f aca="false">IF($C23="Milestone",IF(AND(AA$7&lt;=$I23,AA$7+6&gt;=$I23),"◆",""),IF(AND($C23="Task",$M23&lt;&gt;"",AA$7&lt;=IF($N23="",$D$4,$N23),AA$7+6&gt;=$M23),"●",""))</f>
        <v/>
      </c>
      <c r="AB23" s="25" t="str">
        <f aca="false">IF($C23="Milestone",IF(AND(AB$7&lt;=$I23,AB$7+6&gt;=$I23),"◆",""),IF(AND($C23="Task",$M23&lt;&gt;"",AB$7&lt;=IF($N23="",$D$4,$N23),AB$7+6&gt;=$M23),"●",""))</f>
        <v/>
      </c>
      <c r="AC23" s="25" t="str">
        <f aca="false">IF($C23="Milestone",IF(AND(AC$7&lt;=$I23,AC$7+6&gt;=$I23),"◆",""),IF(AND($C23="Task",$M23&lt;&gt;"",AC$7&lt;=IF($N23="",$D$4,$N23),AC$7+6&gt;=$M23),"●",""))</f>
        <v/>
      </c>
      <c r="AD23" s="25" t="str">
        <f aca="false">IF($C23="Milestone",IF(AND(AD$7&lt;=$I23,AD$7+6&gt;=$I23),"◆",""),IF(AND($C23="Task",$M23&lt;&gt;"",AD$7&lt;=IF($N23="",$D$4,$N23),AD$7+6&gt;=$M23),"●",""))</f>
        <v/>
      </c>
      <c r="AE23" s="25" t="str">
        <f aca="false">IF($C23="Milestone",IF(AND(AE$7&lt;=$I23,AE$7+6&gt;=$I23),"◆",""),IF(AND($C23="Task",$M23&lt;&gt;"",AE$7&lt;=IF($N23="",$D$4,$N23),AE$7+6&gt;=$M23),"●",""))</f>
        <v/>
      </c>
      <c r="AF23" s="25" t="str">
        <f aca="false">IF($C23="Milestone",IF(AND(AF$7&lt;=$I23,AF$7+6&gt;=$I23),"◆",""),IF(AND($C23="Task",$M23&lt;&gt;"",AF$7&lt;=IF($N23="",$D$4,$N23),AF$7+6&gt;=$M23),"●",""))</f>
        <v/>
      </c>
      <c r="AG23" s="25" t="str">
        <f aca="false">IF($C23="Milestone",IF(AND(AG$7&lt;=$I23,AG$7+6&gt;=$I23),"◆",""),IF(AND($C23="Task",$M23&lt;&gt;"",AG$7&lt;=IF($N23="",$D$4,$N23),AG$7+6&gt;=$M23),"●",""))</f>
        <v/>
      </c>
      <c r="AH23" s="25" t="str">
        <f aca="false">IF($C23="Milestone",IF(AND(AH$7&lt;=$I23,AH$7+6&gt;=$I23),"◆",""),IF(AND($C23="Task",$M23&lt;&gt;"",AH$7&lt;=IF($N23="",$D$4,$N23),AH$7+6&gt;=$M23),"●",""))</f>
        <v/>
      </c>
      <c r="AI23" s="25" t="str">
        <f aca="false">IF($C23="Milestone",IF(AND(AI$7&lt;=$I23,AI$7+6&gt;=$I23),"◆",""),IF(AND($C23="Task",$M23&lt;&gt;"",AI$7&lt;=IF($N23="",$D$4,$N23),AI$7+6&gt;=$M23),"●",""))</f>
        <v/>
      </c>
      <c r="AJ23" s="25" t="str">
        <f aca="false">IF($C23="Milestone",IF(AND(AJ$7&lt;=$I23,AJ$7+6&gt;=$I23),"◆",""),IF(AND($C23="Task",$M23&lt;&gt;"",AJ$7&lt;=IF($N23="",$D$4,$N23),AJ$7+6&gt;=$M23),"●",""))</f>
        <v/>
      </c>
      <c r="AK23" s="25" t="str">
        <f aca="false">IF($C23="Milestone",IF(AND(AK$7&lt;=$I23,AK$7+6&gt;=$I23),"◆",""),IF(AND($C23="Task",$M23&lt;&gt;"",AK$7&lt;=IF($N23="",$D$4,$N23),AK$7+6&gt;=$M23),"●",""))</f>
        <v/>
      </c>
      <c r="AL23" s="25" t="str">
        <f aca="false">IF($C23="Milestone",IF(AND(AL$7&lt;=$I23,AL$7+6&gt;=$I23),"◆",""),IF(AND($C23="Task",$M23&lt;&gt;"",AL$7&lt;=IF($N23="",$D$4,$N23),AL$7+6&gt;=$M23),"●",""))</f>
        <v/>
      </c>
      <c r="AM23" s="25" t="str">
        <f aca="false">IF($C23="Milestone",IF(AND(AM$7&lt;=$I23,AM$7+6&gt;=$I23),"◆",""),IF(AND($C23="Task",$M23&lt;&gt;"",AM$7&lt;=IF($N23="",$D$4,$N23),AM$7+6&gt;=$M23),"●",""))</f>
        <v/>
      </c>
      <c r="AN23" s="25" t="str">
        <f aca="false">IF($C23="Milestone",IF(AND(AN$7&lt;=$I23,AN$7+6&gt;=$I23),"◆",""),IF(AND($C23="Task",$M23&lt;&gt;"",AN$7&lt;=IF($N23="",$D$4,$N23),AN$7+6&gt;=$M23),"●",""))</f>
        <v/>
      </c>
      <c r="AO23" s="25" t="str">
        <f aca="false">IF($C23="Milestone",IF(AND(AO$7&lt;=$I23,AO$7+6&gt;=$I23),"◆",""),IF(AND($C23="Task",$M23&lt;&gt;"",AO$7&lt;=IF($N23="",$D$4,$N23),AO$7+6&gt;=$M23),"●",""))</f>
        <v/>
      </c>
      <c r="AP23" s="25" t="str">
        <f aca="false">IF($C23="Milestone",IF(AND(AP$7&lt;=$I23,AP$7+6&gt;=$I23),"◆",""),IF(AND($C23="Task",$M23&lt;&gt;"",AP$7&lt;=IF($N23="",$D$4,$N23),AP$7+6&gt;=$M23),"●",""))</f>
        <v/>
      </c>
      <c r="AQ23" s="25" t="str">
        <f aca="false">IF($C23="Milestone",IF(AND(AQ$7&lt;=$I23,AQ$7+6&gt;=$I23),"◆",""),IF(AND($C23="Task",$M23&lt;&gt;"",AQ$7&lt;=IF($N23="",$D$4,$N23),AQ$7+6&gt;=$M23),"●",""))</f>
        <v/>
      </c>
      <c r="AR23" s="25" t="str">
        <f aca="false">IF($C23="Milestone",IF(AND(AR$7&lt;=$I23,AR$7+6&gt;=$I23),"◆",""),IF(AND($C23="Task",$M23&lt;&gt;"",AR$7&lt;=IF($N23="",$D$4,$N23),AR$7+6&gt;=$M23),"●",""))</f>
        <v/>
      </c>
      <c r="AS23" s="25" t="str">
        <f aca="false">IF($C23="Milestone",IF(AND(AS$7&lt;=$I23,AS$7+6&gt;=$I23),"◆",""),IF(AND($C23="Task",$M23&lt;&gt;"",AS$7&lt;=IF($N23="",$D$4,$N23),AS$7+6&gt;=$M23),"●",""))</f>
        <v/>
      </c>
      <c r="AT23" s="25" t="str">
        <f aca="false">IF($C23="Milestone",IF(AND(AT$7&lt;=$I23,AT$7+6&gt;=$I23),"◆",""),IF(AND($C23="Task",$M23&lt;&gt;"",AT$7&lt;=IF($N23="",$D$4,$N23),AT$7+6&gt;=$M23),"●",""))</f>
        <v/>
      </c>
      <c r="AU23" s="25" t="str">
        <f aca="false">IF($C23="Milestone",IF(AND(AU$7&lt;=$I23,AU$7+6&gt;=$I23),"◆",""),IF(AND($C23="Task",$M23&lt;&gt;"",AU$7&lt;=IF($N23="",$D$4,$N23),AU$7+6&gt;=$M23),"●",""))</f>
        <v/>
      </c>
      <c r="AV23" s="25" t="str">
        <f aca="false">IF($C23="Milestone",IF(AND(AV$7&lt;=$I23,AV$7+6&gt;=$I23),"◆",""),IF(AND($C23="Task",$M23&lt;&gt;"",AV$7&lt;=IF($N23="",$D$4,$N23),AV$7+6&gt;=$M23),"●",""))</f>
        <v/>
      </c>
      <c r="AW23" s="25" t="str">
        <f aca="false">IF($C23="Milestone",IF(AND(AW$7&lt;=$I23,AW$7+6&gt;=$I23),"◆",""),IF(AND($C23="Task",$M23&lt;&gt;"",AW$7&lt;=IF($N23="",$D$4,$N23),AW$7+6&gt;=$M23),"●",""))</f>
        <v/>
      </c>
      <c r="AX23" s="25" t="str">
        <f aca="false">IF($C23="Milestone",IF(AND(AX$7&lt;=$I23,AX$7+6&gt;=$I23),"◆",""),IF(AND($C23="Task",$M23&lt;&gt;"",AX$7&lt;=IF($N23="",$D$4,$N23),AX$7+6&gt;=$M23),"●",""))</f>
        <v/>
      </c>
      <c r="AY23" s="25" t="str">
        <f aca="false">IF($C23="Milestone",IF(AND(AY$7&lt;=$I23,AY$7+6&gt;=$I23),"◆",""),IF(AND($C23="Task",$M23&lt;&gt;"",AY$7&lt;=IF($N23="",$D$4,$N23),AY$7+6&gt;=$M23),"●",""))</f>
        <v/>
      </c>
      <c r="AZ23" s="25" t="str">
        <f aca="false">IF($C23="Milestone",IF(AND(AZ$7&lt;=$I23,AZ$7+6&gt;=$I23),"◆",""),IF(AND($C23="Task",$M23&lt;&gt;"",AZ$7&lt;=IF($N23="",$D$4,$N23),AZ$7+6&gt;=$M23),"●",""))</f>
        <v/>
      </c>
    </row>
    <row r="24" customFormat="false" ht="18" hidden="false" customHeight="true" outlineLevel="0" collapsed="false">
      <c r="A24" s="18" t="s">
        <v>75</v>
      </c>
      <c r="B24" s="19" t="s">
        <v>76</v>
      </c>
      <c r="C24" s="18" t="s">
        <v>20</v>
      </c>
      <c r="D24" s="18" t="s">
        <v>74</v>
      </c>
      <c r="E24" s="18" t="s">
        <v>72</v>
      </c>
      <c r="F24" s="18" t="s">
        <v>50</v>
      </c>
      <c r="G24" s="20" t="n">
        <v>46328</v>
      </c>
      <c r="H24" s="20" t="n">
        <v>46346</v>
      </c>
      <c r="I24" s="21" t="n">
        <v>46321</v>
      </c>
      <c r="J24" s="21" t="n">
        <v>46332</v>
      </c>
      <c r="K24" s="18" t="n">
        <f aca="false">IF(C24="Task",ROUND((J24-I24+3)/7,0),"")</f>
        <v>2</v>
      </c>
      <c r="L24" s="18" t="n">
        <v>1</v>
      </c>
      <c r="M24" s="21"/>
      <c r="N24" s="21"/>
      <c r="O24" s="22"/>
      <c r="P24" s="18" t="str">
        <f aca="false">IF(C24="Break","",IF(C24="Milestone",IF(N24&lt;&gt;"","Done",IF($D$4&gt;J24,"Overdue","Upcoming")),IF(N(O24)&gt;=1,"Done",IF($D$4&lt;I24,"Not started",IF($D$4&gt;J24,"Late",IF(N(O24)+0.1&lt;($D$4-I24+1)/(J24-I24+1),"Behind","On track"))))))</f>
        <v>Not started</v>
      </c>
      <c r="Q24" s="23" t="n">
        <f aca="false">IF(C24="Break","",ROUND((IF(N24&lt;&gt;"",N24,J24)-H24)/7,1))</f>
        <v>-2</v>
      </c>
      <c r="R24" s="18" t="str">
        <f aca="false">IF(C24="Milestone",IF(N24&lt;&gt;"","✓",""),IF(AND(C24="Task",N(O24)&gt;=1),"✓",""))</f>
        <v/>
      </c>
      <c r="S24" s="18" t="n">
        <f aca="false">IF(C24="Task",K24*N(O24),"")</f>
        <v>0</v>
      </c>
      <c r="T24" s="24"/>
      <c r="U24" s="25" t="str">
        <f aca="false">IF($C24="Milestone",IF(AND(U$7&lt;=$I24,U$7+6&gt;=$I24),"◆",""),IF(AND($C24="Task",$M24&lt;&gt;"",U$7&lt;=IF($N24="",$D$4,$N24),U$7+6&gt;=$M24),"●",""))</f>
        <v/>
      </c>
      <c r="V24" s="25" t="str">
        <f aca="false">IF($C24="Milestone",IF(AND(V$7&lt;=$I24,V$7+6&gt;=$I24),"◆",""),IF(AND($C24="Task",$M24&lt;&gt;"",V$7&lt;=IF($N24="",$D$4,$N24),V$7+6&gt;=$M24),"●",""))</f>
        <v/>
      </c>
      <c r="W24" s="25" t="str">
        <f aca="false">IF($C24="Milestone",IF(AND(W$7&lt;=$I24,W$7+6&gt;=$I24),"◆",""),IF(AND($C24="Task",$M24&lt;&gt;"",W$7&lt;=IF($N24="",$D$4,$N24),W$7+6&gt;=$M24),"●",""))</f>
        <v/>
      </c>
      <c r="X24" s="25" t="str">
        <f aca="false">IF($C24="Milestone",IF(AND(X$7&lt;=$I24,X$7+6&gt;=$I24),"◆",""),IF(AND($C24="Task",$M24&lt;&gt;"",X$7&lt;=IF($N24="",$D$4,$N24),X$7+6&gt;=$M24),"●",""))</f>
        <v/>
      </c>
      <c r="Y24" s="25" t="str">
        <f aca="false">IF($C24="Milestone",IF(AND(Y$7&lt;=$I24,Y$7+6&gt;=$I24),"◆",""),IF(AND($C24="Task",$M24&lt;&gt;"",Y$7&lt;=IF($N24="",$D$4,$N24),Y$7+6&gt;=$M24),"●",""))</f>
        <v/>
      </c>
      <c r="Z24" s="25" t="str">
        <f aca="false">IF($C24="Milestone",IF(AND(Z$7&lt;=$I24,Z$7+6&gt;=$I24),"◆",""),IF(AND($C24="Task",$M24&lt;&gt;"",Z$7&lt;=IF($N24="",$D$4,$N24),Z$7+6&gt;=$M24),"●",""))</f>
        <v/>
      </c>
      <c r="AA24" s="25" t="str">
        <f aca="false">IF($C24="Milestone",IF(AND(AA$7&lt;=$I24,AA$7+6&gt;=$I24),"◆",""),IF(AND($C24="Task",$M24&lt;&gt;"",AA$7&lt;=IF($N24="",$D$4,$N24),AA$7+6&gt;=$M24),"●",""))</f>
        <v/>
      </c>
      <c r="AB24" s="25" t="str">
        <f aca="false">IF($C24="Milestone",IF(AND(AB$7&lt;=$I24,AB$7+6&gt;=$I24),"◆",""),IF(AND($C24="Task",$M24&lt;&gt;"",AB$7&lt;=IF($N24="",$D$4,$N24),AB$7+6&gt;=$M24),"●",""))</f>
        <v/>
      </c>
      <c r="AC24" s="25" t="str">
        <f aca="false">IF($C24="Milestone",IF(AND(AC$7&lt;=$I24,AC$7+6&gt;=$I24),"◆",""),IF(AND($C24="Task",$M24&lt;&gt;"",AC$7&lt;=IF($N24="",$D$4,$N24),AC$7+6&gt;=$M24),"●",""))</f>
        <v/>
      </c>
      <c r="AD24" s="25" t="str">
        <f aca="false">IF($C24="Milestone",IF(AND(AD$7&lt;=$I24,AD$7+6&gt;=$I24),"◆",""),IF(AND($C24="Task",$M24&lt;&gt;"",AD$7&lt;=IF($N24="",$D$4,$N24),AD$7+6&gt;=$M24),"●",""))</f>
        <v/>
      </c>
      <c r="AE24" s="25" t="str">
        <f aca="false">IF($C24="Milestone",IF(AND(AE$7&lt;=$I24,AE$7+6&gt;=$I24),"◆",""),IF(AND($C24="Task",$M24&lt;&gt;"",AE$7&lt;=IF($N24="",$D$4,$N24),AE$7+6&gt;=$M24),"●",""))</f>
        <v/>
      </c>
      <c r="AF24" s="25" t="str">
        <f aca="false">IF($C24="Milestone",IF(AND(AF$7&lt;=$I24,AF$7+6&gt;=$I24),"◆",""),IF(AND($C24="Task",$M24&lt;&gt;"",AF$7&lt;=IF($N24="",$D$4,$N24),AF$7+6&gt;=$M24),"●",""))</f>
        <v/>
      </c>
      <c r="AG24" s="25" t="str">
        <f aca="false">IF($C24="Milestone",IF(AND(AG$7&lt;=$I24,AG$7+6&gt;=$I24),"◆",""),IF(AND($C24="Task",$M24&lt;&gt;"",AG$7&lt;=IF($N24="",$D$4,$N24),AG$7+6&gt;=$M24),"●",""))</f>
        <v/>
      </c>
      <c r="AH24" s="25" t="str">
        <f aca="false">IF($C24="Milestone",IF(AND(AH$7&lt;=$I24,AH$7+6&gt;=$I24),"◆",""),IF(AND($C24="Task",$M24&lt;&gt;"",AH$7&lt;=IF($N24="",$D$4,$N24),AH$7+6&gt;=$M24),"●",""))</f>
        <v/>
      </c>
      <c r="AI24" s="25" t="str">
        <f aca="false">IF($C24="Milestone",IF(AND(AI$7&lt;=$I24,AI$7+6&gt;=$I24),"◆",""),IF(AND($C24="Task",$M24&lt;&gt;"",AI$7&lt;=IF($N24="",$D$4,$N24),AI$7+6&gt;=$M24),"●",""))</f>
        <v/>
      </c>
      <c r="AJ24" s="25" t="str">
        <f aca="false">IF($C24="Milestone",IF(AND(AJ$7&lt;=$I24,AJ$7+6&gt;=$I24),"◆",""),IF(AND($C24="Task",$M24&lt;&gt;"",AJ$7&lt;=IF($N24="",$D$4,$N24),AJ$7+6&gt;=$M24),"●",""))</f>
        <v/>
      </c>
      <c r="AK24" s="25" t="str">
        <f aca="false">IF($C24="Milestone",IF(AND(AK$7&lt;=$I24,AK$7+6&gt;=$I24),"◆",""),IF(AND($C24="Task",$M24&lt;&gt;"",AK$7&lt;=IF($N24="",$D$4,$N24),AK$7+6&gt;=$M24),"●",""))</f>
        <v/>
      </c>
      <c r="AL24" s="25" t="str">
        <f aca="false">IF($C24="Milestone",IF(AND(AL$7&lt;=$I24,AL$7+6&gt;=$I24),"◆",""),IF(AND($C24="Task",$M24&lt;&gt;"",AL$7&lt;=IF($N24="",$D$4,$N24),AL$7+6&gt;=$M24),"●",""))</f>
        <v/>
      </c>
      <c r="AM24" s="25" t="str">
        <f aca="false">IF($C24="Milestone",IF(AND(AM$7&lt;=$I24,AM$7+6&gt;=$I24),"◆",""),IF(AND($C24="Task",$M24&lt;&gt;"",AM$7&lt;=IF($N24="",$D$4,$N24),AM$7+6&gt;=$M24),"●",""))</f>
        <v/>
      </c>
      <c r="AN24" s="25" t="str">
        <f aca="false">IF($C24="Milestone",IF(AND(AN$7&lt;=$I24,AN$7+6&gt;=$I24),"◆",""),IF(AND($C24="Task",$M24&lt;&gt;"",AN$7&lt;=IF($N24="",$D$4,$N24),AN$7+6&gt;=$M24),"●",""))</f>
        <v/>
      </c>
      <c r="AO24" s="25" t="str">
        <f aca="false">IF($C24="Milestone",IF(AND(AO$7&lt;=$I24,AO$7+6&gt;=$I24),"◆",""),IF(AND($C24="Task",$M24&lt;&gt;"",AO$7&lt;=IF($N24="",$D$4,$N24),AO$7+6&gt;=$M24),"●",""))</f>
        <v/>
      </c>
      <c r="AP24" s="25" t="str">
        <f aca="false">IF($C24="Milestone",IF(AND(AP$7&lt;=$I24,AP$7+6&gt;=$I24),"◆",""),IF(AND($C24="Task",$M24&lt;&gt;"",AP$7&lt;=IF($N24="",$D$4,$N24),AP$7+6&gt;=$M24),"●",""))</f>
        <v/>
      </c>
      <c r="AQ24" s="25" t="str">
        <f aca="false">IF($C24="Milestone",IF(AND(AQ$7&lt;=$I24,AQ$7+6&gt;=$I24),"◆",""),IF(AND($C24="Task",$M24&lt;&gt;"",AQ$7&lt;=IF($N24="",$D$4,$N24),AQ$7+6&gt;=$M24),"●",""))</f>
        <v/>
      </c>
      <c r="AR24" s="25" t="str">
        <f aca="false">IF($C24="Milestone",IF(AND(AR$7&lt;=$I24,AR$7+6&gt;=$I24),"◆",""),IF(AND($C24="Task",$M24&lt;&gt;"",AR$7&lt;=IF($N24="",$D$4,$N24),AR$7+6&gt;=$M24),"●",""))</f>
        <v/>
      </c>
      <c r="AS24" s="25" t="str">
        <f aca="false">IF($C24="Milestone",IF(AND(AS$7&lt;=$I24,AS$7+6&gt;=$I24),"◆",""),IF(AND($C24="Task",$M24&lt;&gt;"",AS$7&lt;=IF($N24="",$D$4,$N24),AS$7+6&gt;=$M24),"●",""))</f>
        <v/>
      </c>
      <c r="AT24" s="25" t="str">
        <f aca="false">IF($C24="Milestone",IF(AND(AT$7&lt;=$I24,AT$7+6&gt;=$I24),"◆",""),IF(AND($C24="Task",$M24&lt;&gt;"",AT$7&lt;=IF($N24="",$D$4,$N24),AT$7+6&gt;=$M24),"●",""))</f>
        <v/>
      </c>
      <c r="AU24" s="25" t="str">
        <f aca="false">IF($C24="Milestone",IF(AND(AU$7&lt;=$I24,AU$7+6&gt;=$I24),"◆",""),IF(AND($C24="Task",$M24&lt;&gt;"",AU$7&lt;=IF($N24="",$D$4,$N24),AU$7+6&gt;=$M24),"●",""))</f>
        <v/>
      </c>
      <c r="AV24" s="25" t="str">
        <f aca="false">IF($C24="Milestone",IF(AND(AV$7&lt;=$I24,AV$7+6&gt;=$I24),"◆",""),IF(AND($C24="Task",$M24&lt;&gt;"",AV$7&lt;=IF($N24="",$D$4,$N24),AV$7+6&gt;=$M24),"●",""))</f>
        <v/>
      </c>
      <c r="AW24" s="25" t="str">
        <f aca="false">IF($C24="Milestone",IF(AND(AW$7&lt;=$I24,AW$7+6&gt;=$I24),"◆",""),IF(AND($C24="Task",$M24&lt;&gt;"",AW$7&lt;=IF($N24="",$D$4,$N24),AW$7+6&gt;=$M24),"●",""))</f>
        <v/>
      </c>
      <c r="AX24" s="25" t="str">
        <f aca="false">IF($C24="Milestone",IF(AND(AX$7&lt;=$I24,AX$7+6&gt;=$I24),"◆",""),IF(AND($C24="Task",$M24&lt;&gt;"",AX$7&lt;=IF($N24="",$D$4,$N24),AX$7+6&gt;=$M24),"●",""))</f>
        <v/>
      </c>
      <c r="AY24" s="25" t="str">
        <f aca="false">IF($C24="Milestone",IF(AND(AY$7&lt;=$I24,AY$7+6&gt;=$I24),"◆",""),IF(AND($C24="Task",$M24&lt;&gt;"",AY$7&lt;=IF($N24="",$D$4,$N24),AY$7+6&gt;=$M24),"●",""))</f>
        <v/>
      </c>
      <c r="AZ24" s="25" t="str">
        <f aca="false">IF($C24="Milestone",IF(AND(AZ$7&lt;=$I24,AZ$7+6&gt;=$I24),"◆",""),IF(AND($C24="Task",$M24&lt;&gt;"",AZ$7&lt;=IF($N24="",$D$4,$N24),AZ$7+6&gt;=$M24),"●",""))</f>
        <v/>
      </c>
    </row>
    <row r="25" customFormat="false" ht="18" hidden="false" customHeight="true" outlineLevel="0" collapsed="false">
      <c r="A25" s="18" t="s">
        <v>77</v>
      </c>
      <c r="B25" s="19" t="s">
        <v>78</v>
      </c>
      <c r="C25" s="18" t="s">
        <v>43</v>
      </c>
      <c r="D25" s="18" t="s">
        <v>74</v>
      </c>
      <c r="E25" s="18" t="s">
        <v>75</v>
      </c>
      <c r="F25" s="18" t="s">
        <v>50</v>
      </c>
      <c r="G25" s="20" t="n">
        <v>46346</v>
      </c>
      <c r="H25" s="20" t="n">
        <v>46346</v>
      </c>
      <c r="I25" s="21" t="n">
        <v>46332</v>
      </c>
      <c r="J25" s="21" t="n">
        <v>46332</v>
      </c>
      <c r="K25" s="18" t="str">
        <f aca="false">IF(C25="Task",ROUND((J25-I25+3)/7,0),"")</f>
        <v/>
      </c>
      <c r="L25" s="18"/>
      <c r="M25" s="21"/>
      <c r="N25" s="21"/>
      <c r="O25" s="22"/>
      <c r="P25" s="18" t="str">
        <f aca="false">IF(C25="Break","",IF(C25="Milestone",IF(N25&lt;&gt;"","Done",IF($D$4&gt;J25,"Overdue","Upcoming")),IF(N(O25)&gt;=1,"Done",IF($D$4&lt;I25,"Not started",IF($D$4&gt;J25,"Late",IF(N(O25)+0.1&lt;($D$4-I25+1)/(J25-I25+1),"Behind","On track"))))))</f>
        <v>Upcoming</v>
      </c>
      <c r="Q25" s="23" t="n">
        <f aca="false">IF(C25="Break","",ROUND((IF(N25&lt;&gt;"",N25,J25)-H25)/7,1))</f>
        <v>-2</v>
      </c>
      <c r="R25" s="18" t="str">
        <f aca="false">IF(C25="Milestone",IF(N25&lt;&gt;"","✓",""),IF(AND(C25="Task",N(O25)&gt;=1),"✓",""))</f>
        <v/>
      </c>
      <c r="S25" s="18" t="str">
        <f aca="false">IF(C25="Task",K25*N(O25),"")</f>
        <v/>
      </c>
      <c r="T25" s="24"/>
      <c r="U25" s="25" t="str">
        <f aca="false">IF($C25="Milestone",IF(AND(U$7&lt;=$I25,U$7+6&gt;=$I25),"◆",""),IF(AND($C25="Task",$M25&lt;&gt;"",U$7&lt;=IF($N25="",$D$4,$N25),U$7+6&gt;=$M25),"●",""))</f>
        <v/>
      </c>
      <c r="V25" s="25" t="str">
        <f aca="false">IF($C25="Milestone",IF(AND(V$7&lt;=$I25,V$7+6&gt;=$I25),"◆",""),IF(AND($C25="Task",$M25&lt;&gt;"",V$7&lt;=IF($N25="",$D$4,$N25),V$7+6&gt;=$M25),"●",""))</f>
        <v/>
      </c>
      <c r="W25" s="25" t="str">
        <f aca="false">IF($C25="Milestone",IF(AND(W$7&lt;=$I25,W$7+6&gt;=$I25),"◆",""),IF(AND($C25="Task",$M25&lt;&gt;"",W$7&lt;=IF($N25="",$D$4,$N25),W$7+6&gt;=$M25),"●",""))</f>
        <v>◆</v>
      </c>
      <c r="X25" s="25" t="str">
        <f aca="false">IF($C25="Milestone",IF(AND(X$7&lt;=$I25,X$7+6&gt;=$I25),"◆",""),IF(AND($C25="Task",$M25&lt;&gt;"",X$7&lt;=IF($N25="",$D$4,$N25),X$7+6&gt;=$M25),"●",""))</f>
        <v/>
      </c>
      <c r="Y25" s="25" t="str">
        <f aca="false">IF($C25="Milestone",IF(AND(Y$7&lt;=$I25,Y$7+6&gt;=$I25),"◆",""),IF(AND($C25="Task",$M25&lt;&gt;"",Y$7&lt;=IF($N25="",$D$4,$N25),Y$7+6&gt;=$M25),"●",""))</f>
        <v/>
      </c>
      <c r="Z25" s="25" t="str">
        <f aca="false">IF($C25="Milestone",IF(AND(Z$7&lt;=$I25,Z$7+6&gt;=$I25),"◆",""),IF(AND($C25="Task",$M25&lt;&gt;"",Z$7&lt;=IF($N25="",$D$4,$N25),Z$7+6&gt;=$M25),"●",""))</f>
        <v/>
      </c>
      <c r="AA25" s="25" t="str">
        <f aca="false">IF($C25="Milestone",IF(AND(AA$7&lt;=$I25,AA$7+6&gt;=$I25),"◆",""),IF(AND($C25="Task",$M25&lt;&gt;"",AA$7&lt;=IF($N25="",$D$4,$N25),AA$7+6&gt;=$M25),"●",""))</f>
        <v/>
      </c>
      <c r="AB25" s="25" t="str">
        <f aca="false">IF($C25="Milestone",IF(AND(AB$7&lt;=$I25,AB$7+6&gt;=$I25),"◆",""),IF(AND($C25="Task",$M25&lt;&gt;"",AB$7&lt;=IF($N25="",$D$4,$N25),AB$7+6&gt;=$M25),"●",""))</f>
        <v/>
      </c>
      <c r="AC25" s="25" t="str">
        <f aca="false">IF($C25="Milestone",IF(AND(AC$7&lt;=$I25,AC$7+6&gt;=$I25),"◆",""),IF(AND($C25="Task",$M25&lt;&gt;"",AC$7&lt;=IF($N25="",$D$4,$N25),AC$7+6&gt;=$M25),"●",""))</f>
        <v/>
      </c>
      <c r="AD25" s="25" t="str">
        <f aca="false">IF($C25="Milestone",IF(AND(AD$7&lt;=$I25,AD$7+6&gt;=$I25),"◆",""),IF(AND($C25="Task",$M25&lt;&gt;"",AD$7&lt;=IF($N25="",$D$4,$N25),AD$7+6&gt;=$M25),"●",""))</f>
        <v/>
      </c>
      <c r="AE25" s="25" t="str">
        <f aca="false">IF($C25="Milestone",IF(AND(AE$7&lt;=$I25,AE$7+6&gt;=$I25),"◆",""),IF(AND($C25="Task",$M25&lt;&gt;"",AE$7&lt;=IF($N25="",$D$4,$N25),AE$7+6&gt;=$M25),"●",""))</f>
        <v/>
      </c>
      <c r="AF25" s="25" t="str">
        <f aca="false">IF($C25="Milestone",IF(AND(AF$7&lt;=$I25,AF$7+6&gt;=$I25),"◆",""),IF(AND($C25="Task",$M25&lt;&gt;"",AF$7&lt;=IF($N25="",$D$4,$N25),AF$7+6&gt;=$M25),"●",""))</f>
        <v/>
      </c>
      <c r="AG25" s="25" t="str">
        <f aca="false">IF($C25="Milestone",IF(AND(AG$7&lt;=$I25,AG$7+6&gt;=$I25),"◆",""),IF(AND($C25="Task",$M25&lt;&gt;"",AG$7&lt;=IF($N25="",$D$4,$N25),AG$7+6&gt;=$M25),"●",""))</f>
        <v/>
      </c>
      <c r="AH25" s="25" t="str">
        <f aca="false">IF($C25="Milestone",IF(AND(AH$7&lt;=$I25,AH$7+6&gt;=$I25),"◆",""),IF(AND($C25="Task",$M25&lt;&gt;"",AH$7&lt;=IF($N25="",$D$4,$N25),AH$7+6&gt;=$M25),"●",""))</f>
        <v/>
      </c>
      <c r="AI25" s="25" t="str">
        <f aca="false">IF($C25="Milestone",IF(AND(AI$7&lt;=$I25,AI$7+6&gt;=$I25),"◆",""),IF(AND($C25="Task",$M25&lt;&gt;"",AI$7&lt;=IF($N25="",$D$4,$N25),AI$7+6&gt;=$M25),"●",""))</f>
        <v/>
      </c>
      <c r="AJ25" s="25" t="str">
        <f aca="false">IF($C25="Milestone",IF(AND(AJ$7&lt;=$I25,AJ$7+6&gt;=$I25),"◆",""),IF(AND($C25="Task",$M25&lt;&gt;"",AJ$7&lt;=IF($N25="",$D$4,$N25),AJ$7+6&gt;=$M25),"●",""))</f>
        <v/>
      </c>
      <c r="AK25" s="25" t="str">
        <f aca="false">IF($C25="Milestone",IF(AND(AK$7&lt;=$I25,AK$7+6&gt;=$I25),"◆",""),IF(AND($C25="Task",$M25&lt;&gt;"",AK$7&lt;=IF($N25="",$D$4,$N25),AK$7+6&gt;=$M25),"●",""))</f>
        <v/>
      </c>
      <c r="AL25" s="25" t="str">
        <f aca="false">IF($C25="Milestone",IF(AND(AL$7&lt;=$I25,AL$7+6&gt;=$I25),"◆",""),IF(AND($C25="Task",$M25&lt;&gt;"",AL$7&lt;=IF($N25="",$D$4,$N25),AL$7+6&gt;=$M25),"●",""))</f>
        <v/>
      </c>
      <c r="AM25" s="25" t="str">
        <f aca="false">IF($C25="Milestone",IF(AND(AM$7&lt;=$I25,AM$7+6&gt;=$I25),"◆",""),IF(AND($C25="Task",$M25&lt;&gt;"",AM$7&lt;=IF($N25="",$D$4,$N25),AM$7+6&gt;=$M25),"●",""))</f>
        <v/>
      </c>
      <c r="AN25" s="25" t="str">
        <f aca="false">IF($C25="Milestone",IF(AND(AN$7&lt;=$I25,AN$7+6&gt;=$I25),"◆",""),IF(AND($C25="Task",$M25&lt;&gt;"",AN$7&lt;=IF($N25="",$D$4,$N25),AN$7+6&gt;=$M25),"●",""))</f>
        <v/>
      </c>
      <c r="AO25" s="25" t="str">
        <f aca="false">IF($C25="Milestone",IF(AND(AO$7&lt;=$I25,AO$7+6&gt;=$I25),"◆",""),IF(AND($C25="Task",$M25&lt;&gt;"",AO$7&lt;=IF($N25="",$D$4,$N25),AO$7+6&gt;=$M25),"●",""))</f>
        <v/>
      </c>
      <c r="AP25" s="25" t="str">
        <f aca="false">IF($C25="Milestone",IF(AND(AP$7&lt;=$I25,AP$7+6&gt;=$I25),"◆",""),IF(AND($C25="Task",$M25&lt;&gt;"",AP$7&lt;=IF($N25="",$D$4,$N25),AP$7+6&gt;=$M25),"●",""))</f>
        <v/>
      </c>
      <c r="AQ25" s="25" t="str">
        <f aca="false">IF($C25="Milestone",IF(AND(AQ$7&lt;=$I25,AQ$7+6&gt;=$I25),"◆",""),IF(AND($C25="Task",$M25&lt;&gt;"",AQ$7&lt;=IF($N25="",$D$4,$N25),AQ$7+6&gt;=$M25),"●",""))</f>
        <v/>
      </c>
      <c r="AR25" s="25" t="str">
        <f aca="false">IF($C25="Milestone",IF(AND(AR$7&lt;=$I25,AR$7+6&gt;=$I25),"◆",""),IF(AND($C25="Task",$M25&lt;&gt;"",AR$7&lt;=IF($N25="",$D$4,$N25),AR$7+6&gt;=$M25),"●",""))</f>
        <v/>
      </c>
      <c r="AS25" s="25" t="str">
        <f aca="false">IF($C25="Milestone",IF(AND(AS$7&lt;=$I25,AS$7+6&gt;=$I25),"◆",""),IF(AND($C25="Task",$M25&lt;&gt;"",AS$7&lt;=IF($N25="",$D$4,$N25),AS$7+6&gt;=$M25),"●",""))</f>
        <v/>
      </c>
      <c r="AT25" s="25" t="str">
        <f aca="false">IF($C25="Milestone",IF(AND(AT$7&lt;=$I25,AT$7+6&gt;=$I25),"◆",""),IF(AND($C25="Task",$M25&lt;&gt;"",AT$7&lt;=IF($N25="",$D$4,$N25),AT$7+6&gt;=$M25),"●",""))</f>
        <v/>
      </c>
      <c r="AU25" s="25" t="str">
        <f aca="false">IF($C25="Milestone",IF(AND(AU$7&lt;=$I25,AU$7+6&gt;=$I25),"◆",""),IF(AND($C25="Task",$M25&lt;&gt;"",AU$7&lt;=IF($N25="",$D$4,$N25),AU$7+6&gt;=$M25),"●",""))</f>
        <v/>
      </c>
      <c r="AV25" s="25" t="str">
        <f aca="false">IF($C25="Milestone",IF(AND(AV$7&lt;=$I25,AV$7+6&gt;=$I25),"◆",""),IF(AND($C25="Task",$M25&lt;&gt;"",AV$7&lt;=IF($N25="",$D$4,$N25),AV$7+6&gt;=$M25),"●",""))</f>
        <v/>
      </c>
      <c r="AW25" s="25" t="str">
        <f aca="false">IF($C25="Milestone",IF(AND(AW$7&lt;=$I25,AW$7+6&gt;=$I25),"◆",""),IF(AND($C25="Task",$M25&lt;&gt;"",AW$7&lt;=IF($N25="",$D$4,$N25),AW$7+6&gt;=$M25),"●",""))</f>
        <v/>
      </c>
      <c r="AX25" s="25" t="str">
        <f aca="false">IF($C25="Milestone",IF(AND(AX$7&lt;=$I25,AX$7+6&gt;=$I25),"◆",""),IF(AND($C25="Task",$M25&lt;&gt;"",AX$7&lt;=IF($N25="",$D$4,$N25),AX$7+6&gt;=$M25),"●",""))</f>
        <v/>
      </c>
      <c r="AY25" s="25" t="str">
        <f aca="false">IF($C25="Milestone",IF(AND(AY$7&lt;=$I25,AY$7+6&gt;=$I25),"◆",""),IF(AND($C25="Task",$M25&lt;&gt;"",AY$7&lt;=IF($N25="",$D$4,$N25),AY$7+6&gt;=$M25),"●",""))</f>
        <v/>
      </c>
      <c r="AZ25" s="25" t="str">
        <f aca="false">IF($C25="Milestone",IF(AND(AZ$7&lt;=$I25,AZ$7+6&gt;=$I25),"◆",""),IF(AND($C25="Task",$M25&lt;&gt;"",AZ$7&lt;=IF($N25="",$D$4,$N25),AZ$7+6&gt;=$M25),"●",""))</f>
        <v/>
      </c>
    </row>
    <row r="26" customFormat="false" ht="18" hidden="false" customHeight="true" outlineLevel="0" collapsed="false">
      <c r="A26" s="18" t="s">
        <v>79</v>
      </c>
      <c r="B26" s="19" t="s">
        <v>80</v>
      </c>
      <c r="C26" s="18" t="s">
        <v>20</v>
      </c>
      <c r="D26" s="18" t="s">
        <v>81</v>
      </c>
      <c r="E26" s="18" t="s">
        <v>75</v>
      </c>
      <c r="F26" s="18" t="s">
        <v>50</v>
      </c>
      <c r="G26" s="20" t="n">
        <v>46349</v>
      </c>
      <c r="H26" s="20" t="n">
        <v>46353</v>
      </c>
      <c r="I26" s="21" t="n">
        <v>46328</v>
      </c>
      <c r="J26" s="21" t="n">
        <v>46332</v>
      </c>
      <c r="K26" s="18" t="n">
        <f aca="false">IF(C26="Task",ROUND((J26-I26+3)/7,0),"")</f>
        <v>1</v>
      </c>
      <c r="L26" s="18" t="n">
        <v>2</v>
      </c>
      <c r="M26" s="21"/>
      <c r="N26" s="21"/>
      <c r="O26" s="22"/>
      <c r="P26" s="18" t="str">
        <f aca="false">IF(C26="Break","",IF(C26="Milestone",IF(N26&lt;&gt;"","Done",IF($D$4&gt;J26,"Overdue","Upcoming")),IF(N(O26)&gt;=1,"Done",IF($D$4&lt;I26,"Not started",IF($D$4&gt;J26,"Late",IF(N(O26)+0.1&lt;($D$4-I26+1)/(J26-I26+1),"Behind","On track"))))))</f>
        <v>Not started</v>
      </c>
      <c r="Q26" s="23" t="n">
        <f aca="false">IF(C26="Break","",ROUND((IF(N26&lt;&gt;"",N26,J26)-H26)/7,1))</f>
        <v>-3</v>
      </c>
      <c r="R26" s="18" t="str">
        <f aca="false">IF(C26="Milestone",IF(N26&lt;&gt;"","✓",""),IF(AND(C26="Task",N(O26)&gt;=1),"✓",""))</f>
        <v/>
      </c>
      <c r="S26" s="18" t="n">
        <f aca="false">IF(C26="Task",K26*N(O26),"")</f>
        <v>0</v>
      </c>
      <c r="T26" s="24"/>
      <c r="U26" s="25" t="str">
        <f aca="false">IF($C26="Milestone",IF(AND(U$7&lt;=$I26,U$7+6&gt;=$I26),"◆",""),IF(AND($C26="Task",$M26&lt;&gt;"",U$7&lt;=IF($N26="",$D$4,$N26),U$7+6&gt;=$M26),"●",""))</f>
        <v/>
      </c>
      <c r="V26" s="25" t="str">
        <f aca="false">IF($C26="Milestone",IF(AND(V$7&lt;=$I26,V$7+6&gt;=$I26),"◆",""),IF(AND($C26="Task",$M26&lt;&gt;"",V$7&lt;=IF($N26="",$D$4,$N26),V$7+6&gt;=$M26),"●",""))</f>
        <v/>
      </c>
      <c r="W26" s="25" t="str">
        <f aca="false">IF($C26="Milestone",IF(AND(W$7&lt;=$I26,W$7+6&gt;=$I26),"◆",""),IF(AND($C26="Task",$M26&lt;&gt;"",W$7&lt;=IF($N26="",$D$4,$N26),W$7+6&gt;=$M26),"●",""))</f>
        <v/>
      </c>
      <c r="X26" s="25" t="str">
        <f aca="false">IF($C26="Milestone",IF(AND(X$7&lt;=$I26,X$7+6&gt;=$I26),"◆",""),IF(AND($C26="Task",$M26&lt;&gt;"",X$7&lt;=IF($N26="",$D$4,$N26),X$7+6&gt;=$M26),"●",""))</f>
        <v/>
      </c>
      <c r="Y26" s="25" t="str">
        <f aca="false">IF($C26="Milestone",IF(AND(Y$7&lt;=$I26,Y$7+6&gt;=$I26),"◆",""),IF(AND($C26="Task",$M26&lt;&gt;"",Y$7&lt;=IF($N26="",$D$4,$N26),Y$7+6&gt;=$M26),"●",""))</f>
        <v/>
      </c>
      <c r="Z26" s="25" t="str">
        <f aca="false">IF($C26="Milestone",IF(AND(Z$7&lt;=$I26,Z$7+6&gt;=$I26),"◆",""),IF(AND($C26="Task",$M26&lt;&gt;"",Z$7&lt;=IF($N26="",$D$4,$N26),Z$7+6&gt;=$M26),"●",""))</f>
        <v/>
      </c>
      <c r="AA26" s="25" t="str">
        <f aca="false">IF($C26="Milestone",IF(AND(AA$7&lt;=$I26,AA$7+6&gt;=$I26),"◆",""),IF(AND($C26="Task",$M26&lt;&gt;"",AA$7&lt;=IF($N26="",$D$4,$N26),AA$7+6&gt;=$M26),"●",""))</f>
        <v/>
      </c>
      <c r="AB26" s="25" t="str">
        <f aca="false">IF($C26="Milestone",IF(AND(AB$7&lt;=$I26,AB$7+6&gt;=$I26),"◆",""),IF(AND($C26="Task",$M26&lt;&gt;"",AB$7&lt;=IF($N26="",$D$4,$N26),AB$7+6&gt;=$M26),"●",""))</f>
        <v/>
      </c>
      <c r="AC26" s="25" t="str">
        <f aca="false">IF($C26="Milestone",IF(AND(AC$7&lt;=$I26,AC$7+6&gt;=$I26),"◆",""),IF(AND($C26="Task",$M26&lt;&gt;"",AC$7&lt;=IF($N26="",$D$4,$N26),AC$7+6&gt;=$M26),"●",""))</f>
        <v/>
      </c>
      <c r="AD26" s="25" t="str">
        <f aca="false">IF($C26="Milestone",IF(AND(AD$7&lt;=$I26,AD$7+6&gt;=$I26),"◆",""),IF(AND($C26="Task",$M26&lt;&gt;"",AD$7&lt;=IF($N26="",$D$4,$N26),AD$7+6&gt;=$M26),"●",""))</f>
        <v/>
      </c>
      <c r="AE26" s="25" t="str">
        <f aca="false">IF($C26="Milestone",IF(AND(AE$7&lt;=$I26,AE$7+6&gt;=$I26),"◆",""),IF(AND($C26="Task",$M26&lt;&gt;"",AE$7&lt;=IF($N26="",$D$4,$N26),AE$7+6&gt;=$M26),"●",""))</f>
        <v/>
      </c>
      <c r="AF26" s="25" t="str">
        <f aca="false">IF($C26="Milestone",IF(AND(AF$7&lt;=$I26,AF$7+6&gt;=$I26),"◆",""),IF(AND($C26="Task",$M26&lt;&gt;"",AF$7&lt;=IF($N26="",$D$4,$N26),AF$7+6&gt;=$M26),"●",""))</f>
        <v/>
      </c>
      <c r="AG26" s="25" t="str">
        <f aca="false">IF($C26="Milestone",IF(AND(AG$7&lt;=$I26,AG$7+6&gt;=$I26),"◆",""),IF(AND($C26="Task",$M26&lt;&gt;"",AG$7&lt;=IF($N26="",$D$4,$N26),AG$7+6&gt;=$M26),"●",""))</f>
        <v/>
      </c>
      <c r="AH26" s="25" t="str">
        <f aca="false">IF($C26="Milestone",IF(AND(AH$7&lt;=$I26,AH$7+6&gt;=$I26),"◆",""),IF(AND($C26="Task",$M26&lt;&gt;"",AH$7&lt;=IF($N26="",$D$4,$N26),AH$7+6&gt;=$M26),"●",""))</f>
        <v/>
      </c>
      <c r="AI26" s="25" t="str">
        <f aca="false">IF($C26="Milestone",IF(AND(AI$7&lt;=$I26,AI$7+6&gt;=$I26),"◆",""),IF(AND($C26="Task",$M26&lt;&gt;"",AI$7&lt;=IF($N26="",$D$4,$N26),AI$7+6&gt;=$M26),"●",""))</f>
        <v/>
      </c>
      <c r="AJ26" s="25" t="str">
        <f aca="false">IF($C26="Milestone",IF(AND(AJ$7&lt;=$I26,AJ$7+6&gt;=$I26),"◆",""),IF(AND($C26="Task",$M26&lt;&gt;"",AJ$7&lt;=IF($N26="",$D$4,$N26),AJ$7+6&gt;=$M26),"●",""))</f>
        <v/>
      </c>
      <c r="AK26" s="25" t="str">
        <f aca="false">IF($C26="Milestone",IF(AND(AK$7&lt;=$I26,AK$7+6&gt;=$I26),"◆",""),IF(AND($C26="Task",$M26&lt;&gt;"",AK$7&lt;=IF($N26="",$D$4,$N26),AK$7+6&gt;=$M26),"●",""))</f>
        <v/>
      </c>
      <c r="AL26" s="25" t="str">
        <f aca="false">IF($C26="Milestone",IF(AND(AL$7&lt;=$I26,AL$7+6&gt;=$I26),"◆",""),IF(AND($C26="Task",$M26&lt;&gt;"",AL$7&lt;=IF($N26="",$D$4,$N26),AL$7+6&gt;=$M26),"●",""))</f>
        <v/>
      </c>
      <c r="AM26" s="25" t="str">
        <f aca="false">IF($C26="Milestone",IF(AND(AM$7&lt;=$I26,AM$7+6&gt;=$I26),"◆",""),IF(AND($C26="Task",$M26&lt;&gt;"",AM$7&lt;=IF($N26="",$D$4,$N26),AM$7+6&gt;=$M26),"●",""))</f>
        <v/>
      </c>
      <c r="AN26" s="25" t="str">
        <f aca="false">IF($C26="Milestone",IF(AND(AN$7&lt;=$I26,AN$7+6&gt;=$I26),"◆",""),IF(AND($C26="Task",$M26&lt;&gt;"",AN$7&lt;=IF($N26="",$D$4,$N26),AN$7+6&gt;=$M26),"●",""))</f>
        <v/>
      </c>
      <c r="AO26" s="25" t="str">
        <f aca="false">IF($C26="Milestone",IF(AND(AO$7&lt;=$I26,AO$7+6&gt;=$I26),"◆",""),IF(AND($C26="Task",$M26&lt;&gt;"",AO$7&lt;=IF($N26="",$D$4,$N26),AO$7+6&gt;=$M26),"●",""))</f>
        <v/>
      </c>
      <c r="AP26" s="25" t="str">
        <f aca="false">IF($C26="Milestone",IF(AND(AP$7&lt;=$I26,AP$7+6&gt;=$I26),"◆",""),IF(AND($C26="Task",$M26&lt;&gt;"",AP$7&lt;=IF($N26="",$D$4,$N26),AP$7+6&gt;=$M26),"●",""))</f>
        <v/>
      </c>
      <c r="AQ26" s="25" t="str">
        <f aca="false">IF($C26="Milestone",IF(AND(AQ$7&lt;=$I26,AQ$7+6&gt;=$I26),"◆",""),IF(AND($C26="Task",$M26&lt;&gt;"",AQ$7&lt;=IF($N26="",$D$4,$N26),AQ$7+6&gt;=$M26),"●",""))</f>
        <v/>
      </c>
      <c r="AR26" s="25" t="str">
        <f aca="false">IF($C26="Milestone",IF(AND(AR$7&lt;=$I26,AR$7+6&gt;=$I26),"◆",""),IF(AND($C26="Task",$M26&lt;&gt;"",AR$7&lt;=IF($N26="",$D$4,$N26),AR$7+6&gt;=$M26),"●",""))</f>
        <v/>
      </c>
      <c r="AS26" s="25" t="str">
        <f aca="false">IF($C26="Milestone",IF(AND(AS$7&lt;=$I26,AS$7+6&gt;=$I26),"◆",""),IF(AND($C26="Task",$M26&lt;&gt;"",AS$7&lt;=IF($N26="",$D$4,$N26),AS$7+6&gt;=$M26),"●",""))</f>
        <v/>
      </c>
      <c r="AT26" s="25" t="str">
        <f aca="false">IF($C26="Milestone",IF(AND(AT$7&lt;=$I26,AT$7+6&gt;=$I26),"◆",""),IF(AND($C26="Task",$M26&lt;&gt;"",AT$7&lt;=IF($N26="",$D$4,$N26),AT$7+6&gt;=$M26),"●",""))</f>
        <v/>
      </c>
      <c r="AU26" s="25" t="str">
        <f aca="false">IF($C26="Milestone",IF(AND(AU$7&lt;=$I26,AU$7+6&gt;=$I26),"◆",""),IF(AND($C26="Task",$M26&lt;&gt;"",AU$7&lt;=IF($N26="",$D$4,$N26),AU$7+6&gt;=$M26),"●",""))</f>
        <v/>
      </c>
      <c r="AV26" s="25" t="str">
        <f aca="false">IF($C26="Milestone",IF(AND(AV$7&lt;=$I26,AV$7+6&gt;=$I26),"◆",""),IF(AND($C26="Task",$M26&lt;&gt;"",AV$7&lt;=IF($N26="",$D$4,$N26),AV$7+6&gt;=$M26),"●",""))</f>
        <v/>
      </c>
      <c r="AW26" s="25" t="str">
        <f aca="false">IF($C26="Milestone",IF(AND(AW$7&lt;=$I26,AW$7+6&gt;=$I26),"◆",""),IF(AND($C26="Task",$M26&lt;&gt;"",AW$7&lt;=IF($N26="",$D$4,$N26),AW$7+6&gt;=$M26),"●",""))</f>
        <v/>
      </c>
      <c r="AX26" s="25" t="str">
        <f aca="false">IF($C26="Milestone",IF(AND(AX$7&lt;=$I26,AX$7+6&gt;=$I26),"◆",""),IF(AND($C26="Task",$M26&lt;&gt;"",AX$7&lt;=IF($N26="",$D$4,$N26),AX$7+6&gt;=$M26),"●",""))</f>
        <v/>
      </c>
      <c r="AY26" s="25" t="str">
        <f aca="false">IF($C26="Milestone",IF(AND(AY$7&lt;=$I26,AY$7+6&gt;=$I26),"◆",""),IF(AND($C26="Task",$M26&lt;&gt;"",AY$7&lt;=IF($N26="",$D$4,$N26),AY$7+6&gt;=$M26),"●",""))</f>
        <v/>
      </c>
      <c r="AZ26" s="25" t="str">
        <f aca="false">IF($C26="Milestone",IF(AND(AZ$7&lt;=$I26,AZ$7+6&gt;=$I26),"◆",""),IF(AND($C26="Task",$M26&lt;&gt;"",AZ$7&lt;=IF($N26="",$D$4,$N26),AZ$7+6&gt;=$M26),"●",""))</f>
        <v/>
      </c>
    </row>
    <row r="27" customFormat="false" ht="18" hidden="false" customHeight="true" outlineLevel="0" collapsed="false">
      <c r="A27" s="18" t="s">
        <v>82</v>
      </c>
      <c r="B27" s="19" t="s">
        <v>83</v>
      </c>
      <c r="C27" s="18" t="s">
        <v>20</v>
      </c>
      <c r="D27" s="18" t="s">
        <v>81</v>
      </c>
      <c r="E27" s="18" t="s">
        <v>79</v>
      </c>
      <c r="F27" s="18" t="s">
        <v>50</v>
      </c>
      <c r="G27" s="20" t="n">
        <v>46356</v>
      </c>
      <c r="H27" s="20" t="n">
        <v>46360</v>
      </c>
      <c r="I27" s="21" t="n">
        <v>46335</v>
      </c>
      <c r="J27" s="21" t="n">
        <v>46339</v>
      </c>
      <c r="K27" s="18" t="n">
        <f aca="false">IF(C27="Task",ROUND((J27-I27+3)/7,0),"")</f>
        <v>1</v>
      </c>
      <c r="L27" s="18" t="n">
        <v>2</v>
      </c>
      <c r="M27" s="21"/>
      <c r="N27" s="21"/>
      <c r="O27" s="22"/>
      <c r="P27" s="18" t="str">
        <f aca="false">IF(C27="Break","",IF(C27="Milestone",IF(N27&lt;&gt;"","Done",IF($D$4&gt;J27,"Overdue","Upcoming")),IF(N(O27)&gt;=1,"Done",IF($D$4&lt;I27,"Not started",IF($D$4&gt;J27,"Late",IF(N(O27)+0.1&lt;($D$4-I27+1)/(J27-I27+1),"Behind","On track"))))))</f>
        <v>Not started</v>
      </c>
      <c r="Q27" s="23" t="n">
        <f aca="false">IF(C27="Break","",ROUND((IF(N27&lt;&gt;"",N27,J27)-H27)/7,1))</f>
        <v>-3</v>
      </c>
      <c r="R27" s="18" t="str">
        <f aca="false">IF(C27="Milestone",IF(N27&lt;&gt;"","✓",""),IF(AND(C27="Task",N(O27)&gt;=1),"✓",""))</f>
        <v/>
      </c>
      <c r="S27" s="18" t="n">
        <f aca="false">IF(C27="Task",K27*N(O27),"")</f>
        <v>0</v>
      </c>
      <c r="T27" s="24"/>
      <c r="U27" s="25" t="str">
        <f aca="false">IF($C27="Milestone",IF(AND(U$7&lt;=$I27,U$7+6&gt;=$I27),"◆",""),IF(AND($C27="Task",$M27&lt;&gt;"",U$7&lt;=IF($N27="",$D$4,$N27),U$7+6&gt;=$M27),"●",""))</f>
        <v/>
      </c>
      <c r="V27" s="25" t="str">
        <f aca="false">IF($C27="Milestone",IF(AND(V$7&lt;=$I27,V$7+6&gt;=$I27),"◆",""),IF(AND($C27="Task",$M27&lt;&gt;"",V$7&lt;=IF($N27="",$D$4,$N27),V$7+6&gt;=$M27),"●",""))</f>
        <v/>
      </c>
      <c r="W27" s="25" t="str">
        <f aca="false">IF($C27="Milestone",IF(AND(W$7&lt;=$I27,W$7+6&gt;=$I27),"◆",""),IF(AND($C27="Task",$M27&lt;&gt;"",W$7&lt;=IF($N27="",$D$4,$N27),W$7+6&gt;=$M27),"●",""))</f>
        <v/>
      </c>
      <c r="X27" s="25" t="str">
        <f aca="false">IF($C27="Milestone",IF(AND(X$7&lt;=$I27,X$7+6&gt;=$I27),"◆",""),IF(AND($C27="Task",$M27&lt;&gt;"",X$7&lt;=IF($N27="",$D$4,$N27),X$7+6&gt;=$M27),"●",""))</f>
        <v/>
      </c>
      <c r="Y27" s="25" t="str">
        <f aca="false">IF($C27="Milestone",IF(AND(Y$7&lt;=$I27,Y$7+6&gt;=$I27),"◆",""),IF(AND($C27="Task",$M27&lt;&gt;"",Y$7&lt;=IF($N27="",$D$4,$N27),Y$7+6&gt;=$M27),"●",""))</f>
        <v/>
      </c>
      <c r="Z27" s="25" t="str">
        <f aca="false">IF($C27="Milestone",IF(AND(Z$7&lt;=$I27,Z$7+6&gt;=$I27),"◆",""),IF(AND($C27="Task",$M27&lt;&gt;"",Z$7&lt;=IF($N27="",$D$4,$N27),Z$7+6&gt;=$M27),"●",""))</f>
        <v/>
      </c>
      <c r="AA27" s="25" t="str">
        <f aca="false">IF($C27="Milestone",IF(AND(AA$7&lt;=$I27,AA$7+6&gt;=$I27),"◆",""),IF(AND($C27="Task",$M27&lt;&gt;"",AA$7&lt;=IF($N27="",$D$4,$N27),AA$7+6&gt;=$M27),"●",""))</f>
        <v/>
      </c>
      <c r="AB27" s="25" t="str">
        <f aca="false">IF($C27="Milestone",IF(AND(AB$7&lt;=$I27,AB$7+6&gt;=$I27),"◆",""),IF(AND($C27="Task",$M27&lt;&gt;"",AB$7&lt;=IF($N27="",$D$4,$N27),AB$7+6&gt;=$M27),"●",""))</f>
        <v/>
      </c>
      <c r="AC27" s="25" t="str">
        <f aca="false">IF($C27="Milestone",IF(AND(AC$7&lt;=$I27,AC$7+6&gt;=$I27),"◆",""),IF(AND($C27="Task",$M27&lt;&gt;"",AC$7&lt;=IF($N27="",$D$4,$N27),AC$7+6&gt;=$M27),"●",""))</f>
        <v/>
      </c>
      <c r="AD27" s="25" t="str">
        <f aca="false">IF($C27="Milestone",IF(AND(AD$7&lt;=$I27,AD$7+6&gt;=$I27),"◆",""),IF(AND($C27="Task",$M27&lt;&gt;"",AD$7&lt;=IF($N27="",$D$4,$N27),AD$7+6&gt;=$M27),"●",""))</f>
        <v/>
      </c>
      <c r="AE27" s="25" t="str">
        <f aca="false">IF($C27="Milestone",IF(AND(AE$7&lt;=$I27,AE$7+6&gt;=$I27),"◆",""),IF(AND($C27="Task",$M27&lt;&gt;"",AE$7&lt;=IF($N27="",$D$4,$N27),AE$7+6&gt;=$M27),"●",""))</f>
        <v/>
      </c>
      <c r="AF27" s="25" t="str">
        <f aca="false">IF($C27="Milestone",IF(AND(AF$7&lt;=$I27,AF$7+6&gt;=$I27),"◆",""),IF(AND($C27="Task",$M27&lt;&gt;"",AF$7&lt;=IF($N27="",$D$4,$N27),AF$7+6&gt;=$M27),"●",""))</f>
        <v/>
      </c>
      <c r="AG27" s="25" t="str">
        <f aca="false">IF($C27="Milestone",IF(AND(AG$7&lt;=$I27,AG$7+6&gt;=$I27),"◆",""),IF(AND($C27="Task",$M27&lt;&gt;"",AG$7&lt;=IF($N27="",$D$4,$N27),AG$7+6&gt;=$M27),"●",""))</f>
        <v/>
      </c>
      <c r="AH27" s="25" t="str">
        <f aca="false">IF($C27="Milestone",IF(AND(AH$7&lt;=$I27,AH$7+6&gt;=$I27),"◆",""),IF(AND($C27="Task",$M27&lt;&gt;"",AH$7&lt;=IF($N27="",$D$4,$N27),AH$7+6&gt;=$M27),"●",""))</f>
        <v/>
      </c>
      <c r="AI27" s="25" t="str">
        <f aca="false">IF($C27="Milestone",IF(AND(AI$7&lt;=$I27,AI$7+6&gt;=$I27),"◆",""),IF(AND($C27="Task",$M27&lt;&gt;"",AI$7&lt;=IF($N27="",$D$4,$N27),AI$7+6&gt;=$M27),"●",""))</f>
        <v/>
      </c>
      <c r="AJ27" s="25" t="str">
        <f aca="false">IF($C27="Milestone",IF(AND(AJ$7&lt;=$I27,AJ$7+6&gt;=$I27),"◆",""),IF(AND($C27="Task",$M27&lt;&gt;"",AJ$7&lt;=IF($N27="",$D$4,$N27),AJ$7+6&gt;=$M27),"●",""))</f>
        <v/>
      </c>
      <c r="AK27" s="25" t="str">
        <f aca="false">IF($C27="Milestone",IF(AND(AK$7&lt;=$I27,AK$7+6&gt;=$I27),"◆",""),IF(AND($C27="Task",$M27&lt;&gt;"",AK$7&lt;=IF($N27="",$D$4,$N27),AK$7+6&gt;=$M27),"●",""))</f>
        <v/>
      </c>
      <c r="AL27" s="25" t="str">
        <f aca="false">IF($C27="Milestone",IF(AND(AL$7&lt;=$I27,AL$7+6&gt;=$I27),"◆",""),IF(AND($C27="Task",$M27&lt;&gt;"",AL$7&lt;=IF($N27="",$D$4,$N27),AL$7+6&gt;=$M27),"●",""))</f>
        <v/>
      </c>
      <c r="AM27" s="25" t="str">
        <f aca="false">IF($C27="Milestone",IF(AND(AM$7&lt;=$I27,AM$7+6&gt;=$I27),"◆",""),IF(AND($C27="Task",$M27&lt;&gt;"",AM$7&lt;=IF($N27="",$D$4,$N27),AM$7+6&gt;=$M27),"●",""))</f>
        <v/>
      </c>
      <c r="AN27" s="25" t="str">
        <f aca="false">IF($C27="Milestone",IF(AND(AN$7&lt;=$I27,AN$7+6&gt;=$I27),"◆",""),IF(AND($C27="Task",$M27&lt;&gt;"",AN$7&lt;=IF($N27="",$D$4,$N27),AN$7+6&gt;=$M27),"●",""))</f>
        <v/>
      </c>
      <c r="AO27" s="25" t="str">
        <f aca="false">IF($C27="Milestone",IF(AND(AO$7&lt;=$I27,AO$7+6&gt;=$I27),"◆",""),IF(AND($C27="Task",$M27&lt;&gt;"",AO$7&lt;=IF($N27="",$D$4,$N27),AO$7+6&gt;=$M27),"●",""))</f>
        <v/>
      </c>
      <c r="AP27" s="25" t="str">
        <f aca="false">IF($C27="Milestone",IF(AND(AP$7&lt;=$I27,AP$7+6&gt;=$I27),"◆",""),IF(AND($C27="Task",$M27&lt;&gt;"",AP$7&lt;=IF($N27="",$D$4,$N27),AP$7+6&gt;=$M27),"●",""))</f>
        <v/>
      </c>
      <c r="AQ27" s="25" t="str">
        <f aca="false">IF($C27="Milestone",IF(AND(AQ$7&lt;=$I27,AQ$7+6&gt;=$I27),"◆",""),IF(AND($C27="Task",$M27&lt;&gt;"",AQ$7&lt;=IF($N27="",$D$4,$N27),AQ$7+6&gt;=$M27),"●",""))</f>
        <v/>
      </c>
      <c r="AR27" s="25" t="str">
        <f aca="false">IF($C27="Milestone",IF(AND(AR$7&lt;=$I27,AR$7+6&gt;=$I27),"◆",""),IF(AND($C27="Task",$M27&lt;&gt;"",AR$7&lt;=IF($N27="",$D$4,$N27),AR$7+6&gt;=$M27),"●",""))</f>
        <v/>
      </c>
      <c r="AS27" s="25" t="str">
        <f aca="false">IF($C27="Milestone",IF(AND(AS$7&lt;=$I27,AS$7+6&gt;=$I27),"◆",""),IF(AND($C27="Task",$M27&lt;&gt;"",AS$7&lt;=IF($N27="",$D$4,$N27),AS$7+6&gt;=$M27),"●",""))</f>
        <v/>
      </c>
      <c r="AT27" s="25" t="str">
        <f aca="false">IF($C27="Milestone",IF(AND(AT$7&lt;=$I27,AT$7+6&gt;=$I27),"◆",""),IF(AND($C27="Task",$M27&lt;&gt;"",AT$7&lt;=IF($N27="",$D$4,$N27),AT$7+6&gt;=$M27),"●",""))</f>
        <v/>
      </c>
      <c r="AU27" s="25" t="str">
        <f aca="false">IF($C27="Milestone",IF(AND(AU$7&lt;=$I27,AU$7+6&gt;=$I27),"◆",""),IF(AND($C27="Task",$M27&lt;&gt;"",AU$7&lt;=IF($N27="",$D$4,$N27),AU$7+6&gt;=$M27),"●",""))</f>
        <v/>
      </c>
      <c r="AV27" s="25" t="str">
        <f aca="false">IF($C27="Milestone",IF(AND(AV$7&lt;=$I27,AV$7+6&gt;=$I27),"◆",""),IF(AND($C27="Task",$M27&lt;&gt;"",AV$7&lt;=IF($N27="",$D$4,$N27),AV$7+6&gt;=$M27),"●",""))</f>
        <v/>
      </c>
      <c r="AW27" s="25" t="str">
        <f aca="false">IF($C27="Milestone",IF(AND(AW$7&lt;=$I27,AW$7+6&gt;=$I27),"◆",""),IF(AND($C27="Task",$M27&lt;&gt;"",AW$7&lt;=IF($N27="",$D$4,$N27),AW$7+6&gt;=$M27),"●",""))</f>
        <v/>
      </c>
      <c r="AX27" s="25" t="str">
        <f aca="false">IF($C27="Milestone",IF(AND(AX$7&lt;=$I27,AX$7+6&gt;=$I27),"◆",""),IF(AND($C27="Task",$M27&lt;&gt;"",AX$7&lt;=IF($N27="",$D$4,$N27),AX$7+6&gt;=$M27),"●",""))</f>
        <v/>
      </c>
      <c r="AY27" s="25" t="str">
        <f aca="false">IF($C27="Milestone",IF(AND(AY$7&lt;=$I27,AY$7+6&gt;=$I27),"◆",""),IF(AND($C27="Task",$M27&lt;&gt;"",AY$7&lt;=IF($N27="",$D$4,$N27),AY$7+6&gt;=$M27),"●",""))</f>
        <v/>
      </c>
      <c r="AZ27" s="25" t="str">
        <f aca="false">IF($C27="Milestone",IF(AND(AZ$7&lt;=$I27,AZ$7+6&gt;=$I27),"◆",""),IF(AND($C27="Task",$M27&lt;&gt;"",AZ$7&lt;=IF($N27="",$D$4,$N27),AZ$7+6&gt;=$M27),"●",""))</f>
        <v/>
      </c>
    </row>
    <row r="28" customFormat="false" ht="18" hidden="false" customHeight="true" outlineLevel="0" collapsed="false">
      <c r="A28" s="18" t="s">
        <v>84</v>
      </c>
      <c r="B28" s="19" t="s">
        <v>85</v>
      </c>
      <c r="C28" s="18" t="s">
        <v>20</v>
      </c>
      <c r="D28" s="18" t="s">
        <v>86</v>
      </c>
      <c r="E28" s="18" t="s">
        <v>79</v>
      </c>
      <c r="F28" s="18" t="s">
        <v>50</v>
      </c>
      <c r="G28" s="20" t="n">
        <v>46363</v>
      </c>
      <c r="H28" s="20" t="n">
        <v>46367</v>
      </c>
      <c r="I28" s="21" t="n">
        <v>46335</v>
      </c>
      <c r="J28" s="21" t="n">
        <v>46339</v>
      </c>
      <c r="K28" s="18" t="n">
        <f aca="false">IF(C28="Task",ROUND((J28-I28+3)/7,0),"")</f>
        <v>1</v>
      </c>
      <c r="L28" s="18" t="n">
        <v>1</v>
      </c>
      <c r="M28" s="21"/>
      <c r="N28" s="21"/>
      <c r="O28" s="22"/>
      <c r="P28" s="18" t="str">
        <f aca="false">IF(C28="Break","",IF(C28="Milestone",IF(N28&lt;&gt;"","Done",IF($D$4&gt;J28,"Overdue","Upcoming")),IF(N(O28)&gt;=1,"Done",IF($D$4&lt;I28,"Not started",IF($D$4&gt;J28,"Late",IF(N(O28)+0.1&lt;($D$4-I28+1)/(J28-I28+1),"Behind","On track"))))))</f>
        <v>Not started</v>
      </c>
      <c r="Q28" s="23" t="n">
        <f aca="false">IF(C28="Break","",ROUND((IF(N28&lt;&gt;"",N28,J28)-H28)/7,1))</f>
        <v>-4</v>
      </c>
      <c r="R28" s="18" t="str">
        <f aca="false">IF(C28="Milestone",IF(N28&lt;&gt;"","✓",""),IF(AND(C28="Task",N(O28)&gt;=1),"✓",""))</f>
        <v/>
      </c>
      <c r="S28" s="18" t="n">
        <f aca="false">IF(C28="Task",K28*N(O28),"")</f>
        <v>0</v>
      </c>
      <c r="T28" s="24"/>
      <c r="U28" s="25" t="str">
        <f aca="false">IF($C28="Milestone",IF(AND(U$7&lt;=$I28,U$7+6&gt;=$I28),"◆",""),IF(AND($C28="Task",$M28&lt;&gt;"",U$7&lt;=IF($N28="",$D$4,$N28),U$7+6&gt;=$M28),"●",""))</f>
        <v/>
      </c>
      <c r="V28" s="25" t="str">
        <f aca="false">IF($C28="Milestone",IF(AND(V$7&lt;=$I28,V$7+6&gt;=$I28),"◆",""),IF(AND($C28="Task",$M28&lt;&gt;"",V$7&lt;=IF($N28="",$D$4,$N28),V$7+6&gt;=$M28),"●",""))</f>
        <v/>
      </c>
      <c r="W28" s="25" t="str">
        <f aca="false">IF($C28="Milestone",IF(AND(W$7&lt;=$I28,W$7+6&gt;=$I28),"◆",""),IF(AND($C28="Task",$M28&lt;&gt;"",W$7&lt;=IF($N28="",$D$4,$N28),W$7+6&gt;=$M28),"●",""))</f>
        <v/>
      </c>
      <c r="X28" s="25" t="str">
        <f aca="false">IF($C28="Milestone",IF(AND(X$7&lt;=$I28,X$7+6&gt;=$I28),"◆",""),IF(AND($C28="Task",$M28&lt;&gt;"",X$7&lt;=IF($N28="",$D$4,$N28),X$7+6&gt;=$M28),"●",""))</f>
        <v/>
      </c>
      <c r="Y28" s="25" t="str">
        <f aca="false">IF($C28="Milestone",IF(AND(Y$7&lt;=$I28,Y$7+6&gt;=$I28),"◆",""),IF(AND($C28="Task",$M28&lt;&gt;"",Y$7&lt;=IF($N28="",$D$4,$N28),Y$7+6&gt;=$M28),"●",""))</f>
        <v/>
      </c>
      <c r="Z28" s="25" t="str">
        <f aca="false">IF($C28="Milestone",IF(AND(Z$7&lt;=$I28,Z$7+6&gt;=$I28),"◆",""),IF(AND($C28="Task",$M28&lt;&gt;"",Z$7&lt;=IF($N28="",$D$4,$N28),Z$7+6&gt;=$M28),"●",""))</f>
        <v/>
      </c>
      <c r="AA28" s="25" t="str">
        <f aca="false">IF($C28="Milestone",IF(AND(AA$7&lt;=$I28,AA$7+6&gt;=$I28),"◆",""),IF(AND($C28="Task",$M28&lt;&gt;"",AA$7&lt;=IF($N28="",$D$4,$N28),AA$7+6&gt;=$M28),"●",""))</f>
        <v/>
      </c>
      <c r="AB28" s="25" t="str">
        <f aca="false">IF($C28="Milestone",IF(AND(AB$7&lt;=$I28,AB$7+6&gt;=$I28),"◆",""),IF(AND($C28="Task",$M28&lt;&gt;"",AB$7&lt;=IF($N28="",$D$4,$N28),AB$7+6&gt;=$M28),"●",""))</f>
        <v/>
      </c>
      <c r="AC28" s="25" t="str">
        <f aca="false">IF($C28="Milestone",IF(AND(AC$7&lt;=$I28,AC$7+6&gt;=$I28),"◆",""),IF(AND($C28="Task",$M28&lt;&gt;"",AC$7&lt;=IF($N28="",$D$4,$N28),AC$7+6&gt;=$M28),"●",""))</f>
        <v/>
      </c>
      <c r="AD28" s="25" t="str">
        <f aca="false">IF($C28="Milestone",IF(AND(AD$7&lt;=$I28,AD$7+6&gt;=$I28),"◆",""),IF(AND($C28="Task",$M28&lt;&gt;"",AD$7&lt;=IF($N28="",$D$4,$N28),AD$7+6&gt;=$M28),"●",""))</f>
        <v/>
      </c>
      <c r="AE28" s="25" t="str">
        <f aca="false">IF($C28="Milestone",IF(AND(AE$7&lt;=$I28,AE$7+6&gt;=$I28),"◆",""),IF(AND($C28="Task",$M28&lt;&gt;"",AE$7&lt;=IF($N28="",$D$4,$N28),AE$7+6&gt;=$M28),"●",""))</f>
        <v/>
      </c>
      <c r="AF28" s="25" t="str">
        <f aca="false">IF($C28="Milestone",IF(AND(AF$7&lt;=$I28,AF$7+6&gt;=$I28),"◆",""),IF(AND($C28="Task",$M28&lt;&gt;"",AF$7&lt;=IF($N28="",$D$4,$N28),AF$7+6&gt;=$M28),"●",""))</f>
        <v/>
      </c>
      <c r="AG28" s="25" t="str">
        <f aca="false">IF($C28="Milestone",IF(AND(AG$7&lt;=$I28,AG$7+6&gt;=$I28),"◆",""),IF(AND($C28="Task",$M28&lt;&gt;"",AG$7&lt;=IF($N28="",$D$4,$N28),AG$7+6&gt;=$M28),"●",""))</f>
        <v/>
      </c>
      <c r="AH28" s="25" t="str">
        <f aca="false">IF($C28="Milestone",IF(AND(AH$7&lt;=$I28,AH$7+6&gt;=$I28),"◆",""),IF(AND($C28="Task",$M28&lt;&gt;"",AH$7&lt;=IF($N28="",$D$4,$N28),AH$7+6&gt;=$M28),"●",""))</f>
        <v/>
      </c>
      <c r="AI28" s="25" t="str">
        <f aca="false">IF($C28="Milestone",IF(AND(AI$7&lt;=$I28,AI$7+6&gt;=$I28),"◆",""),IF(AND($C28="Task",$M28&lt;&gt;"",AI$7&lt;=IF($N28="",$D$4,$N28),AI$7+6&gt;=$M28),"●",""))</f>
        <v/>
      </c>
      <c r="AJ28" s="25" t="str">
        <f aca="false">IF($C28="Milestone",IF(AND(AJ$7&lt;=$I28,AJ$7+6&gt;=$I28),"◆",""),IF(AND($C28="Task",$M28&lt;&gt;"",AJ$7&lt;=IF($N28="",$D$4,$N28),AJ$7+6&gt;=$M28),"●",""))</f>
        <v/>
      </c>
      <c r="AK28" s="25" t="str">
        <f aca="false">IF($C28="Milestone",IF(AND(AK$7&lt;=$I28,AK$7+6&gt;=$I28),"◆",""),IF(AND($C28="Task",$M28&lt;&gt;"",AK$7&lt;=IF($N28="",$D$4,$N28),AK$7+6&gt;=$M28),"●",""))</f>
        <v/>
      </c>
      <c r="AL28" s="25" t="str">
        <f aca="false">IF($C28="Milestone",IF(AND(AL$7&lt;=$I28,AL$7+6&gt;=$I28),"◆",""),IF(AND($C28="Task",$M28&lt;&gt;"",AL$7&lt;=IF($N28="",$D$4,$N28),AL$7+6&gt;=$M28),"●",""))</f>
        <v/>
      </c>
      <c r="AM28" s="25" t="str">
        <f aca="false">IF($C28="Milestone",IF(AND(AM$7&lt;=$I28,AM$7+6&gt;=$I28),"◆",""),IF(AND($C28="Task",$M28&lt;&gt;"",AM$7&lt;=IF($N28="",$D$4,$N28),AM$7+6&gt;=$M28),"●",""))</f>
        <v/>
      </c>
      <c r="AN28" s="25" t="str">
        <f aca="false">IF($C28="Milestone",IF(AND(AN$7&lt;=$I28,AN$7+6&gt;=$I28),"◆",""),IF(AND($C28="Task",$M28&lt;&gt;"",AN$7&lt;=IF($N28="",$D$4,$N28),AN$7+6&gt;=$M28),"●",""))</f>
        <v/>
      </c>
      <c r="AO28" s="25" t="str">
        <f aca="false">IF($C28="Milestone",IF(AND(AO$7&lt;=$I28,AO$7+6&gt;=$I28),"◆",""),IF(AND($C28="Task",$M28&lt;&gt;"",AO$7&lt;=IF($N28="",$D$4,$N28),AO$7+6&gt;=$M28),"●",""))</f>
        <v/>
      </c>
      <c r="AP28" s="25" t="str">
        <f aca="false">IF($C28="Milestone",IF(AND(AP$7&lt;=$I28,AP$7+6&gt;=$I28),"◆",""),IF(AND($C28="Task",$M28&lt;&gt;"",AP$7&lt;=IF($N28="",$D$4,$N28),AP$7+6&gt;=$M28),"●",""))</f>
        <v/>
      </c>
      <c r="AQ28" s="25" t="str">
        <f aca="false">IF($C28="Milestone",IF(AND(AQ$7&lt;=$I28,AQ$7+6&gt;=$I28),"◆",""),IF(AND($C28="Task",$M28&lt;&gt;"",AQ$7&lt;=IF($N28="",$D$4,$N28),AQ$7+6&gt;=$M28),"●",""))</f>
        <v/>
      </c>
      <c r="AR28" s="25" t="str">
        <f aca="false">IF($C28="Milestone",IF(AND(AR$7&lt;=$I28,AR$7+6&gt;=$I28),"◆",""),IF(AND($C28="Task",$M28&lt;&gt;"",AR$7&lt;=IF($N28="",$D$4,$N28),AR$7+6&gt;=$M28),"●",""))</f>
        <v/>
      </c>
      <c r="AS28" s="25" t="str">
        <f aca="false">IF($C28="Milestone",IF(AND(AS$7&lt;=$I28,AS$7+6&gt;=$I28),"◆",""),IF(AND($C28="Task",$M28&lt;&gt;"",AS$7&lt;=IF($N28="",$D$4,$N28),AS$7+6&gt;=$M28),"●",""))</f>
        <v/>
      </c>
      <c r="AT28" s="25" t="str">
        <f aca="false">IF($C28="Milestone",IF(AND(AT$7&lt;=$I28,AT$7+6&gt;=$I28),"◆",""),IF(AND($C28="Task",$M28&lt;&gt;"",AT$7&lt;=IF($N28="",$D$4,$N28),AT$7+6&gt;=$M28),"●",""))</f>
        <v/>
      </c>
      <c r="AU28" s="25" t="str">
        <f aca="false">IF($C28="Milestone",IF(AND(AU$7&lt;=$I28,AU$7+6&gt;=$I28),"◆",""),IF(AND($C28="Task",$M28&lt;&gt;"",AU$7&lt;=IF($N28="",$D$4,$N28),AU$7+6&gt;=$M28),"●",""))</f>
        <v/>
      </c>
      <c r="AV28" s="25" t="str">
        <f aca="false">IF($C28="Milestone",IF(AND(AV$7&lt;=$I28,AV$7+6&gt;=$I28),"◆",""),IF(AND($C28="Task",$M28&lt;&gt;"",AV$7&lt;=IF($N28="",$D$4,$N28),AV$7+6&gt;=$M28),"●",""))</f>
        <v/>
      </c>
      <c r="AW28" s="25" t="str">
        <f aca="false">IF($C28="Milestone",IF(AND(AW$7&lt;=$I28,AW$7+6&gt;=$I28),"◆",""),IF(AND($C28="Task",$M28&lt;&gt;"",AW$7&lt;=IF($N28="",$D$4,$N28),AW$7+6&gt;=$M28),"●",""))</f>
        <v/>
      </c>
      <c r="AX28" s="25" t="str">
        <f aca="false">IF($C28="Milestone",IF(AND(AX$7&lt;=$I28,AX$7+6&gt;=$I28),"◆",""),IF(AND($C28="Task",$M28&lt;&gt;"",AX$7&lt;=IF($N28="",$D$4,$N28),AX$7+6&gt;=$M28),"●",""))</f>
        <v/>
      </c>
      <c r="AY28" s="25" t="str">
        <f aca="false">IF($C28="Milestone",IF(AND(AY$7&lt;=$I28,AY$7+6&gt;=$I28),"◆",""),IF(AND($C28="Task",$M28&lt;&gt;"",AY$7&lt;=IF($N28="",$D$4,$N28),AY$7+6&gt;=$M28),"●",""))</f>
        <v/>
      </c>
      <c r="AZ28" s="25" t="str">
        <f aca="false">IF($C28="Milestone",IF(AND(AZ$7&lt;=$I28,AZ$7+6&gt;=$I28),"◆",""),IF(AND($C28="Task",$M28&lt;&gt;"",AZ$7&lt;=IF($N28="",$D$4,$N28),AZ$7+6&gt;=$M28),"●",""))</f>
        <v/>
      </c>
    </row>
    <row r="29" customFormat="false" ht="18" hidden="false" customHeight="true" outlineLevel="0" collapsed="false">
      <c r="A29" s="18" t="s">
        <v>87</v>
      </c>
      <c r="B29" s="19" t="s">
        <v>88</v>
      </c>
      <c r="C29" s="18" t="s">
        <v>20</v>
      </c>
      <c r="D29" s="18" t="s">
        <v>89</v>
      </c>
      <c r="E29" s="18" t="s">
        <v>75</v>
      </c>
      <c r="F29" s="18" t="s">
        <v>50</v>
      </c>
      <c r="G29" s="20" t="n">
        <v>46370</v>
      </c>
      <c r="H29" s="20" t="n">
        <v>46374</v>
      </c>
      <c r="I29" s="21" t="n">
        <v>46342</v>
      </c>
      <c r="J29" s="21" t="n">
        <v>46346</v>
      </c>
      <c r="K29" s="18" t="n">
        <f aca="false">IF(C29="Task",ROUND((J29-I29+3)/7,0),"")</f>
        <v>1</v>
      </c>
      <c r="L29" s="18" t="n">
        <v>5</v>
      </c>
      <c r="M29" s="21"/>
      <c r="N29" s="21"/>
      <c r="O29" s="22"/>
      <c r="P29" s="18" t="str">
        <f aca="false">IF(C29="Break","",IF(C29="Milestone",IF(N29&lt;&gt;"","Done",IF($D$4&gt;J29,"Overdue","Upcoming")),IF(N(O29)&gt;=1,"Done",IF($D$4&lt;I29,"Not started",IF($D$4&gt;J29,"Late",IF(N(O29)+0.1&lt;($D$4-I29+1)/(J29-I29+1),"Behind","On track"))))))</f>
        <v>Not started</v>
      </c>
      <c r="Q29" s="23" t="n">
        <f aca="false">IF(C29="Break","",ROUND((IF(N29&lt;&gt;"",N29,J29)-H29)/7,1))</f>
        <v>-4</v>
      </c>
      <c r="R29" s="18" t="str">
        <f aca="false">IF(C29="Milestone",IF(N29&lt;&gt;"","✓",""),IF(AND(C29="Task",N(O29)&gt;=1),"✓",""))</f>
        <v/>
      </c>
      <c r="S29" s="18" t="n">
        <f aca="false">IF(C29="Task",K29*N(O29),"")</f>
        <v>0</v>
      </c>
      <c r="T29" s="24"/>
      <c r="U29" s="25" t="str">
        <f aca="false">IF($C29="Milestone",IF(AND(U$7&lt;=$I29,U$7+6&gt;=$I29),"◆",""),IF(AND($C29="Task",$M29&lt;&gt;"",U$7&lt;=IF($N29="",$D$4,$N29),U$7+6&gt;=$M29),"●",""))</f>
        <v/>
      </c>
      <c r="V29" s="25" t="str">
        <f aca="false">IF($C29="Milestone",IF(AND(V$7&lt;=$I29,V$7+6&gt;=$I29),"◆",""),IF(AND($C29="Task",$M29&lt;&gt;"",V$7&lt;=IF($N29="",$D$4,$N29),V$7+6&gt;=$M29),"●",""))</f>
        <v/>
      </c>
      <c r="W29" s="25" t="str">
        <f aca="false">IF($C29="Milestone",IF(AND(W$7&lt;=$I29,W$7+6&gt;=$I29),"◆",""),IF(AND($C29="Task",$M29&lt;&gt;"",W$7&lt;=IF($N29="",$D$4,$N29),W$7+6&gt;=$M29),"●",""))</f>
        <v/>
      </c>
      <c r="X29" s="25" t="str">
        <f aca="false">IF($C29="Milestone",IF(AND(X$7&lt;=$I29,X$7+6&gt;=$I29),"◆",""),IF(AND($C29="Task",$M29&lt;&gt;"",X$7&lt;=IF($N29="",$D$4,$N29),X$7+6&gt;=$M29),"●",""))</f>
        <v/>
      </c>
      <c r="Y29" s="25" t="str">
        <f aca="false">IF($C29="Milestone",IF(AND(Y$7&lt;=$I29,Y$7+6&gt;=$I29),"◆",""),IF(AND($C29="Task",$M29&lt;&gt;"",Y$7&lt;=IF($N29="",$D$4,$N29),Y$7+6&gt;=$M29),"●",""))</f>
        <v/>
      </c>
      <c r="Z29" s="25" t="str">
        <f aca="false">IF($C29="Milestone",IF(AND(Z$7&lt;=$I29,Z$7+6&gt;=$I29),"◆",""),IF(AND($C29="Task",$M29&lt;&gt;"",Z$7&lt;=IF($N29="",$D$4,$N29),Z$7+6&gt;=$M29),"●",""))</f>
        <v/>
      </c>
      <c r="AA29" s="25" t="str">
        <f aca="false">IF($C29="Milestone",IF(AND(AA$7&lt;=$I29,AA$7+6&gt;=$I29),"◆",""),IF(AND($C29="Task",$M29&lt;&gt;"",AA$7&lt;=IF($N29="",$D$4,$N29),AA$7+6&gt;=$M29),"●",""))</f>
        <v/>
      </c>
      <c r="AB29" s="25" t="str">
        <f aca="false">IF($C29="Milestone",IF(AND(AB$7&lt;=$I29,AB$7+6&gt;=$I29),"◆",""),IF(AND($C29="Task",$M29&lt;&gt;"",AB$7&lt;=IF($N29="",$D$4,$N29),AB$7+6&gt;=$M29),"●",""))</f>
        <v/>
      </c>
      <c r="AC29" s="25" t="str">
        <f aca="false">IF($C29="Milestone",IF(AND(AC$7&lt;=$I29,AC$7+6&gt;=$I29),"◆",""),IF(AND($C29="Task",$M29&lt;&gt;"",AC$7&lt;=IF($N29="",$D$4,$N29),AC$7+6&gt;=$M29),"●",""))</f>
        <v/>
      </c>
      <c r="AD29" s="25" t="str">
        <f aca="false">IF($C29="Milestone",IF(AND(AD$7&lt;=$I29,AD$7+6&gt;=$I29),"◆",""),IF(AND($C29="Task",$M29&lt;&gt;"",AD$7&lt;=IF($N29="",$D$4,$N29),AD$7+6&gt;=$M29),"●",""))</f>
        <v/>
      </c>
      <c r="AE29" s="25" t="str">
        <f aca="false">IF($C29="Milestone",IF(AND(AE$7&lt;=$I29,AE$7+6&gt;=$I29),"◆",""),IF(AND($C29="Task",$M29&lt;&gt;"",AE$7&lt;=IF($N29="",$D$4,$N29),AE$7+6&gt;=$M29),"●",""))</f>
        <v/>
      </c>
      <c r="AF29" s="25" t="str">
        <f aca="false">IF($C29="Milestone",IF(AND(AF$7&lt;=$I29,AF$7+6&gt;=$I29),"◆",""),IF(AND($C29="Task",$M29&lt;&gt;"",AF$7&lt;=IF($N29="",$D$4,$N29),AF$7+6&gt;=$M29),"●",""))</f>
        <v/>
      </c>
      <c r="AG29" s="25" t="str">
        <f aca="false">IF($C29="Milestone",IF(AND(AG$7&lt;=$I29,AG$7+6&gt;=$I29),"◆",""),IF(AND($C29="Task",$M29&lt;&gt;"",AG$7&lt;=IF($N29="",$D$4,$N29),AG$7+6&gt;=$M29),"●",""))</f>
        <v/>
      </c>
      <c r="AH29" s="25" t="str">
        <f aca="false">IF($C29="Milestone",IF(AND(AH$7&lt;=$I29,AH$7+6&gt;=$I29),"◆",""),IF(AND($C29="Task",$M29&lt;&gt;"",AH$7&lt;=IF($N29="",$D$4,$N29),AH$7+6&gt;=$M29),"●",""))</f>
        <v/>
      </c>
      <c r="AI29" s="25" t="str">
        <f aca="false">IF($C29="Milestone",IF(AND(AI$7&lt;=$I29,AI$7+6&gt;=$I29),"◆",""),IF(AND($C29="Task",$M29&lt;&gt;"",AI$7&lt;=IF($N29="",$D$4,$N29),AI$7+6&gt;=$M29),"●",""))</f>
        <v/>
      </c>
      <c r="AJ29" s="25" t="str">
        <f aca="false">IF($C29="Milestone",IF(AND(AJ$7&lt;=$I29,AJ$7+6&gt;=$I29),"◆",""),IF(AND($C29="Task",$M29&lt;&gt;"",AJ$7&lt;=IF($N29="",$D$4,$N29),AJ$7+6&gt;=$M29),"●",""))</f>
        <v/>
      </c>
      <c r="AK29" s="25" t="str">
        <f aca="false">IF($C29="Milestone",IF(AND(AK$7&lt;=$I29,AK$7+6&gt;=$I29),"◆",""),IF(AND($C29="Task",$M29&lt;&gt;"",AK$7&lt;=IF($N29="",$D$4,$N29),AK$7+6&gt;=$M29),"●",""))</f>
        <v/>
      </c>
      <c r="AL29" s="25" t="str">
        <f aca="false">IF($C29="Milestone",IF(AND(AL$7&lt;=$I29,AL$7+6&gt;=$I29),"◆",""),IF(AND($C29="Task",$M29&lt;&gt;"",AL$7&lt;=IF($N29="",$D$4,$N29),AL$7+6&gt;=$M29),"●",""))</f>
        <v/>
      </c>
      <c r="AM29" s="25" t="str">
        <f aca="false">IF($C29="Milestone",IF(AND(AM$7&lt;=$I29,AM$7+6&gt;=$I29),"◆",""),IF(AND($C29="Task",$M29&lt;&gt;"",AM$7&lt;=IF($N29="",$D$4,$N29),AM$7+6&gt;=$M29),"●",""))</f>
        <v/>
      </c>
      <c r="AN29" s="25" t="str">
        <f aca="false">IF($C29="Milestone",IF(AND(AN$7&lt;=$I29,AN$7+6&gt;=$I29),"◆",""),IF(AND($C29="Task",$M29&lt;&gt;"",AN$7&lt;=IF($N29="",$D$4,$N29),AN$7+6&gt;=$M29),"●",""))</f>
        <v/>
      </c>
      <c r="AO29" s="25" t="str">
        <f aca="false">IF($C29="Milestone",IF(AND(AO$7&lt;=$I29,AO$7+6&gt;=$I29),"◆",""),IF(AND($C29="Task",$M29&lt;&gt;"",AO$7&lt;=IF($N29="",$D$4,$N29),AO$7+6&gt;=$M29),"●",""))</f>
        <v/>
      </c>
      <c r="AP29" s="25" t="str">
        <f aca="false">IF($C29="Milestone",IF(AND(AP$7&lt;=$I29,AP$7+6&gt;=$I29),"◆",""),IF(AND($C29="Task",$M29&lt;&gt;"",AP$7&lt;=IF($N29="",$D$4,$N29),AP$7+6&gt;=$M29),"●",""))</f>
        <v/>
      </c>
      <c r="AQ29" s="25" t="str">
        <f aca="false">IF($C29="Milestone",IF(AND(AQ$7&lt;=$I29,AQ$7+6&gt;=$I29),"◆",""),IF(AND($C29="Task",$M29&lt;&gt;"",AQ$7&lt;=IF($N29="",$D$4,$N29),AQ$7+6&gt;=$M29),"●",""))</f>
        <v/>
      </c>
      <c r="AR29" s="25" t="str">
        <f aca="false">IF($C29="Milestone",IF(AND(AR$7&lt;=$I29,AR$7+6&gt;=$I29),"◆",""),IF(AND($C29="Task",$M29&lt;&gt;"",AR$7&lt;=IF($N29="",$D$4,$N29),AR$7+6&gt;=$M29),"●",""))</f>
        <v/>
      </c>
      <c r="AS29" s="25" t="str">
        <f aca="false">IF($C29="Milestone",IF(AND(AS$7&lt;=$I29,AS$7+6&gt;=$I29),"◆",""),IF(AND($C29="Task",$M29&lt;&gt;"",AS$7&lt;=IF($N29="",$D$4,$N29),AS$7+6&gt;=$M29),"●",""))</f>
        <v/>
      </c>
      <c r="AT29" s="25" t="str">
        <f aca="false">IF($C29="Milestone",IF(AND(AT$7&lt;=$I29,AT$7+6&gt;=$I29),"◆",""),IF(AND($C29="Task",$M29&lt;&gt;"",AT$7&lt;=IF($N29="",$D$4,$N29),AT$7+6&gt;=$M29),"●",""))</f>
        <v/>
      </c>
      <c r="AU29" s="25" t="str">
        <f aca="false">IF($C29="Milestone",IF(AND(AU$7&lt;=$I29,AU$7+6&gt;=$I29),"◆",""),IF(AND($C29="Task",$M29&lt;&gt;"",AU$7&lt;=IF($N29="",$D$4,$N29),AU$7+6&gt;=$M29),"●",""))</f>
        <v/>
      </c>
      <c r="AV29" s="25" t="str">
        <f aca="false">IF($C29="Milestone",IF(AND(AV$7&lt;=$I29,AV$7+6&gt;=$I29),"◆",""),IF(AND($C29="Task",$M29&lt;&gt;"",AV$7&lt;=IF($N29="",$D$4,$N29),AV$7+6&gt;=$M29),"●",""))</f>
        <v/>
      </c>
      <c r="AW29" s="25" t="str">
        <f aca="false">IF($C29="Milestone",IF(AND(AW$7&lt;=$I29,AW$7+6&gt;=$I29),"◆",""),IF(AND($C29="Task",$M29&lt;&gt;"",AW$7&lt;=IF($N29="",$D$4,$N29),AW$7+6&gt;=$M29),"●",""))</f>
        <v/>
      </c>
      <c r="AX29" s="25" t="str">
        <f aca="false">IF($C29="Milestone",IF(AND(AX$7&lt;=$I29,AX$7+6&gt;=$I29),"◆",""),IF(AND($C29="Task",$M29&lt;&gt;"",AX$7&lt;=IF($N29="",$D$4,$N29),AX$7+6&gt;=$M29),"●",""))</f>
        <v/>
      </c>
      <c r="AY29" s="25" t="str">
        <f aca="false">IF($C29="Milestone",IF(AND(AY$7&lt;=$I29,AY$7+6&gt;=$I29),"◆",""),IF(AND($C29="Task",$M29&lt;&gt;"",AY$7&lt;=IF($N29="",$D$4,$N29),AY$7+6&gt;=$M29),"●",""))</f>
        <v/>
      </c>
      <c r="AZ29" s="25" t="str">
        <f aca="false">IF($C29="Milestone",IF(AND(AZ$7&lt;=$I29,AZ$7+6&gt;=$I29),"◆",""),IF(AND($C29="Task",$M29&lt;&gt;"",AZ$7&lt;=IF($N29="",$D$4,$N29),AZ$7+6&gt;=$M29),"●",""))</f>
        <v/>
      </c>
    </row>
    <row r="30" customFormat="false" ht="18" hidden="false" customHeight="true" outlineLevel="0" collapsed="false">
      <c r="A30" s="18" t="s">
        <v>90</v>
      </c>
      <c r="B30" s="19" t="s">
        <v>91</v>
      </c>
      <c r="C30" s="18" t="s">
        <v>20</v>
      </c>
      <c r="D30" s="18" t="s">
        <v>89</v>
      </c>
      <c r="E30" s="18" t="s">
        <v>87</v>
      </c>
      <c r="F30" s="18" t="s">
        <v>50</v>
      </c>
      <c r="G30" s="20" t="n">
        <v>46412</v>
      </c>
      <c r="H30" s="20" t="n">
        <v>46416</v>
      </c>
      <c r="I30" s="21" t="n">
        <v>46349</v>
      </c>
      <c r="J30" s="21" t="n">
        <v>46360</v>
      </c>
      <c r="K30" s="18" t="n">
        <f aca="false">IF(C30="Task",ROUND((J30-I30+3)/7,0),"")</f>
        <v>2</v>
      </c>
      <c r="L30" s="18" t="n">
        <v>1</v>
      </c>
      <c r="M30" s="21"/>
      <c r="N30" s="21"/>
      <c r="O30" s="22"/>
      <c r="P30" s="18" t="str">
        <f aca="false">IF(C30="Break","",IF(C30="Milestone",IF(N30&lt;&gt;"","Done",IF($D$4&gt;J30,"Overdue","Upcoming")),IF(N(O30)&gt;=1,"Done",IF($D$4&lt;I30,"Not started",IF($D$4&gt;J30,"Late",IF(N(O30)+0.1&lt;($D$4-I30+1)/(J30-I30+1),"Behind","On track"))))))</f>
        <v>Not started</v>
      </c>
      <c r="Q30" s="23" t="n">
        <f aca="false">IF(C30="Break","",ROUND((IF(N30&lt;&gt;"",N30,J30)-H30)/7,1))</f>
        <v>-8</v>
      </c>
      <c r="R30" s="18" t="str">
        <f aca="false">IF(C30="Milestone",IF(N30&lt;&gt;"","✓",""),IF(AND(C30="Task",N(O30)&gt;=1),"✓",""))</f>
        <v/>
      </c>
      <c r="S30" s="18" t="n">
        <f aca="false">IF(C30="Task",K30*N(O30),"")</f>
        <v>0</v>
      </c>
      <c r="T30" s="24"/>
      <c r="U30" s="25" t="str">
        <f aca="false">IF($C30="Milestone",IF(AND(U$7&lt;=$I30,U$7+6&gt;=$I30),"◆",""),IF(AND($C30="Task",$M30&lt;&gt;"",U$7&lt;=IF($N30="",$D$4,$N30),U$7+6&gt;=$M30),"●",""))</f>
        <v/>
      </c>
      <c r="V30" s="25" t="str">
        <f aca="false">IF($C30="Milestone",IF(AND(V$7&lt;=$I30,V$7+6&gt;=$I30),"◆",""),IF(AND($C30="Task",$M30&lt;&gt;"",V$7&lt;=IF($N30="",$D$4,$N30),V$7+6&gt;=$M30),"●",""))</f>
        <v/>
      </c>
      <c r="W30" s="25" t="str">
        <f aca="false">IF($C30="Milestone",IF(AND(W$7&lt;=$I30,W$7+6&gt;=$I30),"◆",""),IF(AND($C30="Task",$M30&lt;&gt;"",W$7&lt;=IF($N30="",$D$4,$N30),W$7+6&gt;=$M30),"●",""))</f>
        <v/>
      </c>
      <c r="X30" s="25" t="str">
        <f aca="false">IF($C30="Milestone",IF(AND(X$7&lt;=$I30,X$7+6&gt;=$I30),"◆",""),IF(AND($C30="Task",$M30&lt;&gt;"",X$7&lt;=IF($N30="",$D$4,$N30),X$7+6&gt;=$M30),"●",""))</f>
        <v/>
      </c>
      <c r="Y30" s="25" t="str">
        <f aca="false">IF($C30="Milestone",IF(AND(Y$7&lt;=$I30,Y$7+6&gt;=$I30),"◆",""),IF(AND($C30="Task",$M30&lt;&gt;"",Y$7&lt;=IF($N30="",$D$4,$N30),Y$7+6&gt;=$M30),"●",""))</f>
        <v/>
      </c>
      <c r="Z30" s="25" t="str">
        <f aca="false">IF($C30="Milestone",IF(AND(Z$7&lt;=$I30,Z$7+6&gt;=$I30),"◆",""),IF(AND($C30="Task",$M30&lt;&gt;"",Z$7&lt;=IF($N30="",$D$4,$N30),Z$7+6&gt;=$M30),"●",""))</f>
        <v/>
      </c>
      <c r="AA30" s="25" t="str">
        <f aca="false">IF($C30="Milestone",IF(AND(AA$7&lt;=$I30,AA$7+6&gt;=$I30),"◆",""),IF(AND($C30="Task",$M30&lt;&gt;"",AA$7&lt;=IF($N30="",$D$4,$N30),AA$7+6&gt;=$M30),"●",""))</f>
        <v/>
      </c>
      <c r="AB30" s="25" t="str">
        <f aca="false">IF($C30="Milestone",IF(AND(AB$7&lt;=$I30,AB$7+6&gt;=$I30),"◆",""),IF(AND($C30="Task",$M30&lt;&gt;"",AB$7&lt;=IF($N30="",$D$4,$N30),AB$7+6&gt;=$M30),"●",""))</f>
        <v/>
      </c>
      <c r="AC30" s="25" t="str">
        <f aca="false">IF($C30="Milestone",IF(AND(AC$7&lt;=$I30,AC$7+6&gt;=$I30),"◆",""),IF(AND($C30="Task",$M30&lt;&gt;"",AC$7&lt;=IF($N30="",$D$4,$N30),AC$7+6&gt;=$M30),"●",""))</f>
        <v/>
      </c>
      <c r="AD30" s="25" t="str">
        <f aca="false">IF($C30="Milestone",IF(AND(AD$7&lt;=$I30,AD$7+6&gt;=$I30),"◆",""),IF(AND($C30="Task",$M30&lt;&gt;"",AD$7&lt;=IF($N30="",$D$4,$N30),AD$7+6&gt;=$M30),"●",""))</f>
        <v/>
      </c>
      <c r="AE30" s="25" t="str">
        <f aca="false">IF($C30="Milestone",IF(AND(AE$7&lt;=$I30,AE$7+6&gt;=$I30),"◆",""),IF(AND($C30="Task",$M30&lt;&gt;"",AE$7&lt;=IF($N30="",$D$4,$N30),AE$7+6&gt;=$M30),"●",""))</f>
        <v/>
      </c>
      <c r="AF30" s="25" t="str">
        <f aca="false">IF($C30="Milestone",IF(AND(AF$7&lt;=$I30,AF$7+6&gt;=$I30),"◆",""),IF(AND($C30="Task",$M30&lt;&gt;"",AF$7&lt;=IF($N30="",$D$4,$N30),AF$7+6&gt;=$M30),"●",""))</f>
        <v/>
      </c>
      <c r="AG30" s="25" t="str">
        <f aca="false">IF($C30="Milestone",IF(AND(AG$7&lt;=$I30,AG$7+6&gt;=$I30),"◆",""),IF(AND($C30="Task",$M30&lt;&gt;"",AG$7&lt;=IF($N30="",$D$4,$N30),AG$7+6&gt;=$M30),"●",""))</f>
        <v/>
      </c>
      <c r="AH30" s="25" t="str">
        <f aca="false">IF($C30="Milestone",IF(AND(AH$7&lt;=$I30,AH$7+6&gt;=$I30),"◆",""),IF(AND($C30="Task",$M30&lt;&gt;"",AH$7&lt;=IF($N30="",$D$4,$N30),AH$7+6&gt;=$M30),"●",""))</f>
        <v/>
      </c>
      <c r="AI30" s="25" t="str">
        <f aca="false">IF($C30="Milestone",IF(AND(AI$7&lt;=$I30,AI$7+6&gt;=$I30),"◆",""),IF(AND($C30="Task",$M30&lt;&gt;"",AI$7&lt;=IF($N30="",$D$4,$N30),AI$7+6&gt;=$M30),"●",""))</f>
        <v/>
      </c>
      <c r="AJ30" s="25" t="str">
        <f aca="false">IF($C30="Milestone",IF(AND(AJ$7&lt;=$I30,AJ$7+6&gt;=$I30),"◆",""),IF(AND($C30="Task",$M30&lt;&gt;"",AJ$7&lt;=IF($N30="",$D$4,$N30),AJ$7+6&gt;=$M30),"●",""))</f>
        <v/>
      </c>
      <c r="AK30" s="25" t="str">
        <f aca="false">IF($C30="Milestone",IF(AND(AK$7&lt;=$I30,AK$7+6&gt;=$I30),"◆",""),IF(AND($C30="Task",$M30&lt;&gt;"",AK$7&lt;=IF($N30="",$D$4,$N30),AK$7+6&gt;=$M30),"●",""))</f>
        <v/>
      </c>
      <c r="AL30" s="25" t="str">
        <f aca="false">IF($C30="Milestone",IF(AND(AL$7&lt;=$I30,AL$7+6&gt;=$I30),"◆",""),IF(AND($C30="Task",$M30&lt;&gt;"",AL$7&lt;=IF($N30="",$D$4,$N30),AL$7+6&gt;=$M30),"●",""))</f>
        <v/>
      </c>
      <c r="AM30" s="25" t="str">
        <f aca="false">IF($C30="Milestone",IF(AND(AM$7&lt;=$I30,AM$7+6&gt;=$I30),"◆",""),IF(AND($C30="Task",$M30&lt;&gt;"",AM$7&lt;=IF($N30="",$D$4,$N30),AM$7+6&gt;=$M30),"●",""))</f>
        <v/>
      </c>
      <c r="AN30" s="25" t="str">
        <f aca="false">IF($C30="Milestone",IF(AND(AN$7&lt;=$I30,AN$7+6&gt;=$I30),"◆",""),IF(AND($C30="Task",$M30&lt;&gt;"",AN$7&lt;=IF($N30="",$D$4,$N30),AN$7+6&gt;=$M30),"●",""))</f>
        <v/>
      </c>
      <c r="AO30" s="25" t="str">
        <f aca="false">IF($C30="Milestone",IF(AND(AO$7&lt;=$I30,AO$7+6&gt;=$I30),"◆",""),IF(AND($C30="Task",$M30&lt;&gt;"",AO$7&lt;=IF($N30="",$D$4,$N30),AO$7+6&gt;=$M30),"●",""))</f>
        <v/>
      </c>
      <c r="AP30" s="25" t="str">
        <f aca="false">IF($C30="Milestone",IF(AND(AP$7&lt;=$I30,AP$7+6&gt;=$I30),"◆",""),IF(AND($C30="Task",$M30&lt;&gt;"",AP$7&lt;=IF($N30="",$D$4,$N30),AP$7+6&gt;=$M30),"●",""))</f>
        <v/>
      </c>
      <c r="AQ30" s="25" t="str">
        <f aca="false">IF($C30="Milestone",IF(AND(AQ$7&lt;=$I30,AQ$7+6&gt;=$I30),"◆",""),IF(AND($C30="Task",$M30&lt;&gt;"",AQ$7&lt;=IF($N30="",$D$4,$N30),AQ$7+6&gt;=$M30),"●",""))</f>
        <v/>
      </c>
      <c r="AR30" s="25" t="str">
        <f aca="false">IF($C30="Milestone",IF(AND(AR$7&lt;=$I30,AR$7+6&gt;=$I30),"◆",""),IF(AND($C30="Task",$M30&lt;&gt;"",AR$7&lt;=IF($N30="",$D$4,$N30),AR$7+6&gt;=$M30),"●",""))</f>
        <v/>
      </c>
      <c r="AS30" s="25" t="str">
        <f aca="false">IF($C30="Milestone",IF(AND(AS$7&lt;=$I30,AS$7+6&gt;=$I30),"◆",""),IF(AND($C30="Task",$M30&lt;&gt;"",AS$7&lt;=IF($N30="",$D$4,$N30),AS$7+6&gt;=$M30),"●",""))</f>
        <v/>
      </c>
      <c r="AT30" s="25" t="str">
        <f aca="false">IF($C30="Milestone",IF(AND(AT$7&lt;=$I30,AT$7+6&gt;=$I30),"◆",""),IF(AND($C30="Task",$M30&lt;&gt;"",AT$7&lt;=IF($N30="",$D$4,$N30),AT$7+6&gt;=$M30),"●",""))</f>
        <v/>
      </c>
      <c r="AU30" s="25" t="str">
        <f aca="false">IF($C30="Milestone",IF(AND(AU$7&lt;=$I30,AU$7+6&gt;=$I30),"◆",""),IF(AND($C30="Task",$M30&lt;&gt;"",AU$7&lt;=IF($N30="",$D$4,$N30),AU$7+6&gt;=$M30),"●",""))</f>
        <v/>
      </c>
      <c r="AV30" s="25" t="str">
        <f aca="false">IF($C30="Milestone",IF(AND(AV$7&lt;=$I30,AV$7+6&gt;=$I30),"◆",""),IF(AND($C30="Task",$M30&lt;&gt;"",AV$7&lt;=IF($N30="",$D$4,$N30),AV$7+6&gt;=$M30),"●",""))</f>
        <v/>
      </c>
      <c r="AW30" s="25" t="str">
        <f aca="false">IF($C30="Milestone",IF(AND(AW$7&lt;=$I30,AW$7+6&gt;=$I30),"◆",""),IF(AND($C30="Task",$M30&lt;&gt;"",AW$7&lt;=IF($N30="",$D$4,$N30),AW$7+6&gt;=$M30),"●",""))</f>
        <v/>
      </c>
      <c r="AX30" s="25" t="str">
        <f aca="false">IF($C30="Milestone",IF(AND(AX$7&lt;=$I30,AX$7+6&gt;=$I30),"◆",""),IF(AND($C30="Task",$M30&lt;&gt;"",AX$7&lt;=IF($N30="",$D$4,$N30),AX$7+6&gt;=$M30),"●",""))</f>
        <v/>
      </c>
      <c r="AY30" s="25" t="str">
        <f aca="false">IF($C30="Milestone",IF(AND(AY$7&lt;=$I30,AY$7+6&gt;=$I30),"◆",""),IF(AND($C30="Task",$M30&lt;&gt;"",AY$7&lt;=IF($N30="",$D$4,$N30),AY$7+6&gt;=$M30),"●",""))</f>
        <v/>
      </c>
      <c r="AZ30" s="25" t="str">
        <f aca="false">IF($C30="Milestone",IF(AND(AZ$7&lt;=$I30,AZ$7+6&gt;=$I30),"◆",""),IF(AND($C30="Task",$M30&lt;&gt;"",AZ$7&lt;=IF($N30="",$D$4,$N30),AZ$7+6&gt;=$M30),"●",""))</f>
        <v/>
      </c>
    </row>
    <row r="31" customFormat="false" ht="18" hidden="false" customHeight="true" outlineLevel="0" collapsed="false">
      <c r="A31" s="18" t="s">
        <v>92</v>
      </c>
      <c r="B31" s="19" t="s">
        <v>93</v>
      </c>
      <c r="C31" s="18" t="s">
        <v>43</v>
      </c>
      <c r="D31" s="18" t="s">
        <v>89</v>
      </c>
      <c r="E31" s="18" t="s">
        <v>90</v>
      </c>
      <c r="F31" s="18" t="s">
        <v>50</v>
      </c>
      <c r="G31" s="20" t="n">
        <v>46416</v>
      </c>
      <c r="H31" s="20" t="n">
        <v>46416</v>
      </c>
      <c r="I31" s="21" t="n">
        <v>46360</v>
      </c>
      <c r="J31" s="21" t="n">
        <v>46360</v>
      </c>
      <c r="K31" s="18" t="str">
        <f aca="false">IF(C31="Task",ROUND((J31-I31+3)/7,0),"")</f>
        <v/>
      </c>
      <c r="L31" s="18"/>
      <c r="M31" s="21"/>
      <c r="N31" s="21"/>
      <c r="O31" s="22"/>
      <c r="P31" s="18" t="str">
        <f aca="false">IF(C31="Break","",IF(C31="Milestone",IF(N31&lt;&gt;"","Done",IF($D$4&gt;J31,"Overdue","Upcoming")),IF(N(O31)&gt;=1,"Done",IF($D$4&lt;I31,"Not started",IF($D$4&gt;J31,"Late",IF(N(O31)+0.1&lt;($D$4-I31+1)/(J31-I31+1),"Behind","On track"))))))</f>
        <v>Upcoming</v>
      </c>
      <c r="Q31" s="23" t="n">
        <f aca="false">IF(C31="Break","",ROUND((IF(N31&lt;&gt;"",N31,J31)-H31)/7,1))</f>
        <v>-8</v>
      </c>
      <c r="R31" s="18" t="str">
        <f aca="false">IF(C31="Milestone",IF(N31&lt;&gt;"","✓",""),IF(AND(C31="Task",N(O31)&gt;=1),"✓",""))</f>
        <v/>
      </c>
      <c r="S31" s="18" t="str">
        <f aca="false">IF(C31="Task",K31*N(O31),"")</f>
        <v/>
      </c>
      <c r="T31" s="24"/>
      <c r="U31" s="25" t="str">
        <f aca="false">IF($C31="Milestone",IF(AND(U$7&lt;=$I31,U$7+6&gt;=$I31),"◆",""),IF(AND($C31="Task",$M31&lt;&gt;"",U$7&lt;=IF($N31="",$D$4,$N31),U$7+6&gt;=$M31),"●",""))</f>
        <v/>
      </c>
      <c r="V31" s="25" t="str">
        <f aca="false">IF($C31="Milestone",IF(AND(V$7&lt;=$I31,V$7+6&gt;=$I31),"◆",""),IF(AND($C31="Task",$M31&lt;&gt;"",V$7&lt;=IF($N31="",$D$4,$N31),V$7+6&gt;=$M31),"●",""))</f>
        <v/>
      </c>
      <c r="W31" s="25" t="str">
        <f aca="false">IF($C31="Milestone",IF(AND(W$7&lt;=$I31,W$7+6&gt;=$I31),"◆",""),IF(AND($C31="Task",$M31&lt;&gt;"",W$7&lt;=IF($N31="",$D$4,$N31),W$7+6&gt;=$M31),"●",""))</f>
        <v/>
      </c>
      <c r="X31" s="25" t="str">
        <f aca="false">IF($C31="Milestone",IF(AND(X$7&lt;=$I31,X$7+6&gt;=$I31),"◆",""),IF(AND($C31="Task",$M31&lt;&gt;"",X$7&lt;=IF($N31="",$D$4,$N31),X$7+6&gt;=$M31),"●",""))</f>
        <v/>
      </c>
      <c r="Y31" s="25" t="str">
        <f aca="false">IF($C31="Milestone",IF(AND(Y$7&lt;=$I31,Y$7+6&gt;=$I31),"◆",""),IF(AND($C31="Task",$M31&lt;&gt;"",Y$7&lt;=IF($N31="",$D$4,$N31),Y$7+6&gt;=$M31),"●",""))</f>
        <v/>
      </c>
      <c r="Z31" s="25" t="str">
        <f aca="false">IF($C31="Milestone",IF(AND(Z$7&lt;=$I31,Z$7+6&gt;=$I31),"◆",""),IF(AND($C31="Task",$M31&lt;&gt;"",Z$7&lt;=IF($N31="",$D$4,$N31),Z$7+6&gt;=$M31),"●",""))</f>
        <v/>
      </c>
      <c r="AA31" s="25" t="str">
        <f aca="false">IF($C31="Milestone",IF(AND(AA$7&lt;=$I31,AA$7+6&gt;=$I31),"◆",""),IF(AND($C31="Task",$M31&lt;&gt;"",AA$7&lt;=IF($N31="",$D$4,$N31),AA$7+6&gt;=$M31),"●",""))</f>
        <v>◆</v>
      </c>
      <c r="AB31" s="25" t="str">
        <f aca="false">IF($C31="Milestone",IF(AND(AB$7&lt;=$I31,AB$7+6&gt;=$I31),"◆",""),IF(AND($C31="Task",$M31&lt;&gt;"",AB$7&lt;=IF($N31="",$D$4,$N31),AB$7+6&gt;=$M31),"●",""))</f>
        <v/>
      </c>
      <c r="AC31" s="25" t="str">
        <f aca="false">IF($C31="Milestone",IF(AND(AC$7&lt;=$I31,AC$7+6&gt;=$I31),"◆",""),IF(AND($C31="Task",$M31&lt;&gt;"",AC$7&lt;=IF($N31="",$D$4,$N31),AC$7+6&gt;=$M31),"●",""))</f>
        <v/>
      </c>
      <c r="AD31" s="25" t="str">
        <f aca="false">IF($C31="Milestone",IF(AND(AD$7&lt;=$I31,AD$7+6&gt;=$I31),"◆",""),IF(AND($C31="Task",$M31&lt;&gt;"",AD$7&lt;=IF($N31="",$D$4,$N31),AD$7+6&gt;=$M31),"●",""))</f>
        <v/>
      </c>
      <c r="AE31" s="25" t="str">
        <f aca="false">IF($C31="Milestone",IF(AND(AE$7&lt;=$I31,AE$7+6&gt;=$I31),"◆",""),IF(AND($C31="Task",$M31&lt;&gt;"",AE$7&lt;=IF($N31="",$D$4,$N31),AE$7+6&gt;=$M31),"●",""))</f>
        <v/>
      </c>
      <c r="AF31" s="25" t="str">
        <f aca="false">IF($C31="Milestone",IF(AND(AF$7&lt;=$I31,AF$7+6&gt;=$I31),"◆",""),IF(AND($C31="Task",$M31&lt;&gt;"",AF$7&lt;=IF($N31="",$D$4,$N31),AF$7+6&gt;=$M31),"●",""))</f>
        <v/>
      </c>
      <c r="AG31" s="25" t="str">
        <f aca="false">IF($C31="Milestone",IF(AND(AG$7&lt;=$I31,AG$7+6&gt;=$I31),"◆",""),IF(AND($C31="Task",$M31&lt;&gt;"",AG$7&lt;=IF($N31="",$D$4,$N31),AG$7+6&gt;=$M31),"●",""))</f>
        <v/>
      </c>
      <c r="AH31" s="25" t="str">
        <f aca="false">IF($C31="Milestone",IF(AND(AH$7&lt;=$I31,AH$7+6&gt;=$I31),"◆",""),IF(AND($C31="Task",$M31&lt;&gt;"",AH$7&lt;=IF($N31="",$D$4,$N31),AH$7+6&gt;=$M31),"●",""))</f>
        <v/>
      </c>
      <c r="AI31" s="25" t="str">
        <f aca="false">IF($C31="Milestone",IF(AND(AI$7&lt;=$I31,AI$7+6&gt;=$I31),"◆",""),IF(AND($C31="Task",$M31&lt;&gt;"",AI$7&lt;=IF($N31="",$D$4,$N31),AI$7+6&gt;=$M31),"●",""))</f>
        <v/>
      </c>
      <c r="AJ31" s="25" t="str">
        <f aca="false">IF($C31="Milestone",IF(AND(AJ$7&lt;=$I31,AJ$7+6&gt;=$I31),"◆",""),IF(AND($C31="Task",$M31&lt;&gt;"",AJ$7&lt;=IF($N31="",$D$4,$N31),AJ$7+6&gt;=$M31),"●",""))</f>
        <v/>
      </c>
      <c r="AK31" s="25" t="str">
        <f aca="false">IF($C31="Milestone",IF(AND(AK$7&lt;=$I31,AK$7+6&gt;=$I31),"◆",""),IF(AND($C31="Task",$M31&lt;&gt;"",AK$7&lt;=IF($N31="",$D$4,$N31),AK$7+6&gt;=$M31),"●",""))</f>
        <v/>
      </c>
      <c r="AL31" s="25" t="str">
        <f aca="false">IF($C31="Milestone",IF(AND(AL$7&lt;=$I31,AL$7+6&gt;=$I31),"◆",""),IF(AND($C31="Task",$M31&lt;&gt;"",AL$7&lt;=IF($N31="",$D$4,$N31),AL$7+6&gt;=$M31),"●",""))</f>
        <v/>
      </c>
      <c r="AM31" s="25" t="str">
        <f aca="false">IF($C31="Milestone",IF(AND(AM$7&lt;=$I31,AM$7+6&gt;=$I31),"◆",""),IF(AND($C31="Task",$M31&lt;&gt;"",AM$7&lt;=IF($N31="",$D$4,$N31),AM$7+6&gt;=$M31),"●",""))</f>
        <v/>
      </c>
      <c r="AN31" s="25" t="str">
        <f aca="false">IF($C31="Milestone",IF(AND(AN$7&lt;=$I31,AN$7+6&gt;=$I31),"◆",""),IF(AND($C31="Task",$M31&lt;&gt;"",AN$7&lt;=IF($N31="",$D$4,$N31),AN$7+6&gt;=$M31),"●",""))</f>
        <v/>
      </c>
      <c r="AO31" s="25" t="str">
        <f aca="false">IF($C31="Milestone",IF(AND(AO$7&lt;=$I31,AO$7+6&gt;=$I31),"◆",""),IF(AND($C31="Task",$M31&lt;&gt;"",AO$7&lt;=IF($N31="",$D$4,$N31),AO$7+6&gt;=$M31),"●",""))</f>
        <v/>
      </c>
      <c r="AP31" s="25" t="str">
        <f aca="false">IF($C31="Milestone",IF(AND(AP$7&lt;=$I31,AP$7+6&gt;=$I31),"◆",""),IF(AND($C31="Task",$M31&lt;&gt;"",AP$7&lt;=IF($N31="",$D$4,$N31),AP$7+6&gt;=$M31),"●",""))</f>
        <v/>
      </c>
      <c r="AQ31" s="25" t="str">
        <f aca="false">IF($C31="Milestone",IF(AND(AQ$7&lt;=$I31,AQ$7+6&gt;=$I31),"◆",""),IF(AND($C31="Task",$M31&lt;&gt;"",AQ$7&lt;=IF($N31="",$D$4,$N31),AQ$7+6&gt;=$M31),"●",""))</f>
        <v/>
      </c>
      <c r="AR31" s="25" t="str">
        <f aca="false">IF($C31="Milestone",IF(AND(AR$7&lt;=$I31,AR$7+6&gt;=$I31),"◆",""),IF(AND($C31="Task",$M31&lt;&gt;"",AR$7&lt;=IF($N31="",$D$4,$N31),AR$7+6&gt;=$M31),"●",""))</f>
        <v/>
      </c>
      <c r="AS31" s="25" t="str">
        <f aca="false">IF($C31="Milestone",IF(AND(AS$7&lt;=$I31,AS$7+6&gt;=$I31),"◆",""),IF(AND($C31="Task",$M31&lt;&gt;"",AS$7&lt;=IF($N31="",$D$4,$N31),AS$7+6&gt;=$M31),"●",""))</f>
        <v/>
      </c>
      <c r="AT31" s="25" t="str">
        <f aca="false">IF($C31="Milestone",IF(AND(AT$7&lt;=$I31,AT$7+6&gt;=$I31),"◆",""),IF(AND($C31="Task",$M31&lt;&gt;"",AT$7&lt;=IF($N31="",$D$4,$N31),AT$7+6&gt;=$M31),"●",""))</f>
        <v/>
      </c>
      <c r="AU31" s="25" t="str">
        <f aca="false">IF($C31="Milestone",IF(AND(AU$7&lt;=$I31,AU$7+6&gt;=$I31),"◆",""),IF(AND($C31="Task",$M31&lt;&gt;"",AU$7&lt;=IF($N31="",$D$4,$N31),AU$7+6&gt;=$M31),"●",""))</f>
        <v/>
      </c>
      <c r="AV31" s="25" t="str">
        <f aca="false">IF($C31="Milestone",IF(AND(AV$7&lt;=$I31,AV$7+6&gt;=$I31),"◆",""),IF(AND($C31="Task",$M31&lt;&gt;"",AV$7&lt;=IF($N31="",$D$4,$N31),AV$7+6&gt;=$M31),"●",""))</f>
        <v/>
      </c>
      <c r="AW31" s="25" t="str">
        <f aca="false">IF($C31="Milestone",IF(AND(AW$7&lt;=$I31,AW$7+6&gt;=$I31),"◆",""),IF(AND($C31="Task",$M31&lt;&gt;"",AW$7&lt;=IF($N31="",$D$4,$N31),AW$7+6&gt;=$M31),"●",""))</f>
        <v/>
      </c>
      <c r="AX31" s="25" t="str">
        <f aca="false">IF($C31="Milestone",IF(AND(AX$7&lt;=$I31,AX$7+6&gt;=$I31),"◆",""),IF(AND($C31="Task",$M31&lt;&gt;"",AX$7&lt;=IF($N31="",$D$4,$N31),AX$7+6&gt;=$M31),"●",""))</f>
        <v/>
      </c>
      <c r="AY31" s="25" t="str">
        <f aca="false">IF($C31="Milestone",IF(AND(AY$7&lt;=$I31,AY$7+6&gt;=$I31),"◆",""),IF(AND($C31="Task",$M31&lt;&gt;"",AY$7&lt;=IF($N31="",$D$4,$N31),AY$7+6&gt;=$M31),"●",""))</f>
        <v/>
      </c>
      <c r="AZ31" s="25" t="str">
        <f aca="false">IF($C31="Milestone",IF(AND(AZ$7&lt;=$I31,AZ$7+6&gt;=$I31),"◆",""),IF(AND($C31="Task",$M31&lt;&gt;"",AZ$7&lt;=IF($N31="",$D$4,$N31),AZ$7+6&gt;=$M31),"●",""))</f>
        <v/>
      </c>
    </row>
    <row r="32" customFormat="false" ht="15" hidden="false" customHeight="false" outlineLevel="0" collapsed="false">
      <c r="A32" s="15"/>
      <c r="B32" s="16" t="s">
        <v>94</v>
      </c>
      <c r="C32" s="17" t="s">
        <v>40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</row>
    <row r="33" customFormat="false" ht="18" hidden="false" customHeight="true" outlineLevel="0" collapsed="false">
      <c r="A33" s="18" t="s">
        <v>95</v>
      </c>
      <c r="B33" s="19" t="s">
        <v>96</v>
      </c>
      <c r="C33" s="18" t="s">
        <v>20</v>
      </c>
      <c r="D33" s="18"/>
      <c r="E33" s="18"/>
      <c r="F33" s="18" t="s">
        <v>44</v>
      </c>
      <c r="G33" s="20" t="n">
        <v>46314</v>
      </c>
      <c r="H33" s="20" t="n">
        <v>46325</v>
      </c>
      <c r="I33" s="21" t="n">
        <v>46314</v>
      </c>
      <c r="J33" s="21" t="n">
        <v>46325</v>
      </c>
      <c r="K33" s="18" t="n">
        <f aca="false">IF(C33="Task",ROUND((J33-I33+3)/7,0),"")</f>
        <v>2</v>
      </c>
      <c r="L33" s="18" t="n">
        <v>0</v>
      </c>
      <c r="M33" s="21"/>
      <c r="N33" s="21"/>
      <c r="O33" s="22"/>
      <c r="P33" s="18" t="str">
        <f aca="false">IF(C33="Break","",IF(C33="Milestone",IF(N33&lt;&gt;"","Done",IF($D$4&gt;J33,"Overdue","Upcoming")),IF(N(O33)&gt;=1,"Done",IF($D$4&lt;I33,"Not started",IF($D$4&gt;J33,"Late",IF(N(O33)+0.1&lt;($D$4-I33+1)/(J33-I33+1),"Behind","On track"))))))</f>
        <v>Behind</v>
      </c>
      <c r="Q33" s="23" t="n">
        <f aca="false">IF(C33="Break","",ROUND((IF(N33&lt;&gt;"",N33,J33)-H33)/7,1))</f>
        <v>0</v>
      </c>
      <c r="R33" s="18" t="str">
        <f aca="false">IF(C33="Milestone",IF(N33&lt;&gt;"","✓",""),IF(AND(C33="Task",N(O33)&gt;=1),"✓",""))</f>
        <v/>
      </c>
      <c r="S33" s="18" t="n">
        <f aca="false">IF(C33="Task",K33*N(O33),"")</f>
        <v>0</v>
      </c>
      <c r="T33" s="24"/>
      <c r="U33" s="25" t="str">
        <f aca="false">IF($C33="Milestone",IF(AND(U$7&lt;=$I33,U$7+6&gt;=$I33),"◆",""),IF(AND($C33="Task",$M33&lt;&gt;"",U$7&lt;=IF($N33="",$D$4,$N33),U$7+6&gt;=$M33),"●",""))</f>
        <v/>
      </c>
      <c r="V33" s="25" t="str">
        <f aca="false">IF($C33="Milestone",IF(AND(V$7&lt;=$I33,V$7+6&gt;=$I33),"◆",""),IF(AND($C33="Task",$M33&lt;&gt;"",V$7&lt;=IF($N33="",$D$4,$N33),V$7+6&gt;=$M33),"●",""))</f>
        <v/>
      </c>
      <c r="W33" s="25" t="str">
        <f aca="false">IF($C33="Milestone",IF(AND(W$7&lt;=$I33,W$7+6&gt;=$I33),"◆",""),IF(AND($C33="Task",$M33&lt;&gt;"",W$7&lt;=IF($N33="",$D$4,$N33),W$7+6&gt;=$M33),"●",""))</f>
        <v/>
      </c>
      <c r="X33" s="25" t="str">
        <f aca="false">IF($C33="Milestone",IF(AND(X$7&lt;=$I33,X$7+6&gt;=$I33),"◆",""),IF(AND($C33="Task",$M33&lt;&gt;"",X$7&lt;=IF($N33="",$D$4,$N33),X$7+6&gt;=$M33),"●",""))</f>
        <v/>
      </c>
      <c r="Y33" s="25" t="str">
        <f aca="false">IF($C33="Milestone",IF(AND(Y$7&lt;=$I33,Y$7+6&gt;=$I33),"◆",""),IF(AND($C33="Task",$M33&lt;&gt;"",Y$7&lt;=IF($N33="",$D$4,$N33),Y$7+6&gt;=$M33),"●",""))</f>
        <v/>
      </c>
      <c r="Z33" s="25" t="str">
        <f aca="false">IF($C33="Milestone",IF(AND(Z$7&lt;=$I33,Z$7+6&gt;=$I33),"◆",""),IF(AND($C33="Task",$M33&lt;&gt;"",Z$7&lt;=IF($N33="",$D$4,$N33),Z$7+6&gt;=$M33),"●",""))</f>
        <v/>
      </c>
      <c r="AA33" s="25" t="str">
        <f aca="false">IF($C33="Milestone",IF(AND(AA$7&lt;=$I33,AA$7+6&gt;=$I33),"◆",""),IF(AND($C33="Task",$M33&lt;&gt;"",AA$7&lt;=IF($N33="",$D$4,$N33),AA$7+6&gt;=$M33),"●",""))</f>
        <v/>
      </c>
      <c r="AB33" s="25" t="str">
        <f aca="false">IF($C33="Milestone",IF(AND(AB$7&lt;=$I33,AB$7+6&gt;=$I33),"◆",""),IF(AND($C33="Task",$M33&lt;&gt;"",AB$7&lt;=IF($N33="",$D$4,$N33),AB$7+6&gt;=$M33),"●",""))</f>
        <v/>
      </c>
      <c r="AC33" s="25" t="str">
        <f aca="false">IF($C33="Milestone",IF(AND(AC$7&lt;=$I33,AC$7+6&gt;=$I33),"◆",""),IF(AND($C33="Task",$M33&lt;&gt;"",AC$7&lt;=IF($N33="",$D$4,$N33),AC$7+6&gt;=$M33),"●",""))</f>
        <v/>
      </c>
      <c r="AD33" s="25" t="str">
        <f aca="false">IF($C33="Milestone",IF(AND(AD$7&lt;=$I33,AD$7+6&gt;=$I33),"◆",""),IF(AND($C33="Task",$M33&lt;&gt;"",AD$7&lt;=IF($N33="",$D$4,$N33),AD$7+6&gt;=$M33),"●",""))</f>
        <v/>
      </c>
      <c r="AE33" s="25" t="str">
        <f aca="false">IF($C33="Milestone",IF(AND(AE$7&lt;=$I33,AE$7+6&gt;=$I33),"◆",""),IF(AND($C33="Task",$M33&lt;&gt;"",AE$7&lt;=IF($N33="",$D$4,$N33),AE$7+6&gt;=$M33),"●",""))</f>
        <v/>
      </c>
      <c r="AF33" s="25" t="str">
        <f aca="false">IF($C33="Milestone",IF(AND(AF$7&lt;=$I33,AF$7+6&gt;=$I33),"◆",""),IF(AND($C33="Task",$M33&lt;&gt;"",AF$7&lt;=IF($N33="",$D$4,$N33),AF$7+6&gt;=$M33),"●",""))</f>
        <v/>
      </c>
      <c r="AG33" s="25" t="str">
        <f aca="false">IF($C33="Milestone",IF(AND(AG$7&lt;=$I33,AG$7+6&gt;=$I33),"◆",""),IF(AND($C33="Task",$M33&lt;&gt;"",AG$7&lt;=IF($N33="",$D$4,$N33),AG$7+6&gt;=$M33),"●",""))</f>
        <v/>
      </c>
      <c r="AH33" s="25" t="str">
        <f aca="false">IF($C33="Milestone",IF(AND(AH$7&lt;=$I33,AH$7+6&gt;=$I33),"◆",""),IF(AND($C33="Task",$M33&lt;&gt;"",AH$7&lt;=IF($N33="",$D$4,$N33),AH$7+6&gt;=$M33),"●",""))</f>
        <v/>
      </c>
      <c r="AI33" s="25" t="str">
        <f aca="false">IF($C33="Milestone",IF(AND(AI$7&lt;=$I33,AI$7+6&gt;=$I33),"◆",""),IF(AND($C33="Task",$M33&lt;&gt;"",AI$7&lt;=IF($N33="",$D$4,$N33),AI$7+6&gt;=$M33),"●",""))</f>
        <v/>
      </c>
      <c r="AJ33" s="25" t="str">
        <f aca="false">IF($C33="Milestone",IF(AND(AJ$7&lt;=$I33,AJ$7+6&gt;=$I33),"◆",""),IF(AND($C33="Task",$M33&lt;&gt;"",AJ$7&lt;=IF($N33="",$D$4,$N33),AJ$7+6&gt;=$M33),"●",""))</f>
        <v/>
      </c>
      <c r="AK33" s="25" t="str">
        <f aca="false">IF($C33="Milestone",IF(AND(AK$7&lt;=$I33,AK$7+6&gt;=$I33),"◆",""),IF(AND($C33="Task",$M33&lt;&gt;"",AK$7&lt;=IF($N33="",$D$4,$N33),AK$7+6&gt;=$M33),"●",""))</f>
        <v/>
      </c>
      <c r="AL33" s="25" t="str">
        <f aca="false">IF($C33="Milestone",IF(AND(AL$7&lt;=$I33,AL$7+6&gt;=$I33),"◆",""),IF(AND($C33="Task",$M33&lt;&gt;"",AL$7&lt;=IF($N33="",$D$4,$N33),AL$7+6&gt;=$M33),"●",""))</f>
        <v/>
      </c>
      <c r="AM33" s="25" t="str">
        <f aca="false">IF($C33="Milestone",IF(AND(AM$7&lt;=$I33,AM$7+6&gt;=$I33),"◆",""),IF(AND($C33="Task",$M33&lt;&gt;"",AM$7&lt;=IF($N33="",$D$4,$N33),AM$7+6&gt;=$M33),"●",""))</f>
        <v/>
      </c>
      <c r="AN33" s="25" t="str">
        <f aca="false">IF($C33="Milestone",IF(AND(AN$7&lt;=$I33,AN$7+6&gt;=$I33),"◆",""),IF(AND($C33="Task",$M33&lt;&gt;"",AN$7&lt;=IF($N33="",$D$4,$N33),AN$7+6&gt;=$M33),"●",""))</f>
        <v/>
      </c>
      <c r="AO33" s="25" t="str">
        <f aca="false">IF($C33="Milestone",IF(AND(AO$7&lt;=$I33,AO$7+6&gt;=$I33),"◆",""),IF(AND($C33="Task",$M33&lt;&gt;"",AO$7&lt;=IF($N33="",$D$4,$N33),AO$7+6&gt;=$M33),"●",""))</f>
        <v/>
      </c>
      <c r="AP33" s="25" t="str">
        <f aca="false">IF($C33="Milestone",IF(AND(AP$7&lt;=$I33,AP$7+6&gt;=$I33),"◆",""),IF(AND($C33="Task",$M33&lt;&gt;"",AP$7&lt;=IF($N33="",$D$4,$N33),AP$7+6&gt;=$M33),"●",""))</f>
        <v/>
      </c>
      <c r="AQ33" s="25" t="str">
        <f aca="false">IF($C33="Milestone",IF(AND(AQ$7&lt;=$I33,AQ$7+6&gt;=$I33),"◆",""),IF(AND($C33="Task",$M33&lt;&gt;"",AQ$7&lt;=IF($N33="",$D$4,$N33),AQ$7+6&gt;=$M33),"●",""))</f>
        <v/>
      </c>
      <c r="AR33" s="25" t="str">
        <f aca="false">IF($C33="Milestone",IF(AND(AR$7&lt;=$I33,AR$7+6&gt;=$I33),"◆",""),IF(AND($C33="Task",$M33&lt;&gt;"",AR$7&lt;=IF($N33="",$D$4,$N33),AR$7+6&gt;=$M33),"●",""))</f>
        <v/>
      </c>
      <c r="AS33" s="25" t="str">
        <f aca="false">IF($C33="Milestone",IF(AND(AS$7&lt;=$I33,AS$7+6&gt;=$I33),"◆",""),IF(AND($C33="Task",$M33&lt;&gt;"",AS$7&lt;=IF($N33="",$D$4,$N33),AS$7+6&gt;=$M33),"●",""))</f>
        <v/>
      </c>
      <c r="AT33" s="25" t="str">
        <f aca="false">IF($C33="Milestone",IF(AND(AT$7&lt;=$I33,AT$7+6&gt;=$I33),"◆",""),IF(AND($C33="Task",$M33&lt;&gt;"",AT$7&lt;=IF($N33="",$D$4,$N33),AT$7+6&gt;=$M33),"●",""))</f>
        <v/>
      </c>
      <c r="AU33" s="25" t="str">
        <f aca="false">IF($C33="Milestone",IF(AND(AU$7&lt;=$I33,AU$7+6&gt;=$I33),"◆",""),IF(AND($C33="Task",$M33&lt;&gt;"",AU$7&lt;=IF($N33="",$D$4,$N33),AU$7+6&gt;=$M33),"●",""))</f>
        <v/>
      </c>
      <c r="AV33" s="25" t="str">
        <f aca="false">IF($C33="Milestone",IF(AND(AV$7&lt;=$I33,AV$7+6&gt;=$I33),"◆",""),IF(AND($C33="Task",$M33&lt;&gt;"",AV$7&lt;=IF($N33="",$D$4,$N33),AV$7+6&gt;=$M33),"●",""))</f>
        <v/>
      </c>
      <c r="AW33" s="25" t="str">
        <f aca="false">IF($C33="Milestone",IF(AND(AW$7&lt;=$I33,AW$7+6&gt;=$I33),"◆",""),IF(AND($C33="Task",$M33&lt;&gt;"",AW$7&lt;=IF($N33="",$D$4,$N33),AW$7+6&gt;=$M33),"●",""))</f>
        <v/>
      </c>
      <c r="AX33" s="25" t="str">
        <f aca="false">IF($C33="Milestone",IF(AND(AX$7&lt;=$I33,AX$7+6&gt;=$I33),"◆",""),IF(AND($C33="Task",$M33&lt;&gt;"",AX$7&lt;=IF($N33="",$D$4,$N33),AX$7+6&gt;=$M33),"●",""))</f>
        <v/>
      </c>
      <c r="AY33" s="25" t="str">
        <f aca="false">IF($C33="Milestone",IF(AND(AY$7&lt;=$I33,AY$7+6&gt;=$I33),"◆",""),IF(AND($C33="Task",$M33&lt;&gt;"",AY$7&lt;=IF($N33="",$D$4,$N33),AY$7+6&gt;=$M33),"●",""))</f>
        <v/>
      </c>
      <c r="AZ33" s="25" t="str">
        <f aca="false">IF($C33="Milestone",IF(AND(AZ$7&lt;=$I33,AZ$7+6&gt;=$I33),"◆",""),IF(AND($C33="Task",$M33&lt;&gt;"",AZ$7&lt;=IF($N33="",$D$4,$N33),AZ$7+6&gt;=$M33),"●",""))</f>
        <v/>
      </c>
    </row>
    <row r="34" customFormat="false" ht="18" hidden="false" customHeight="true" outlineLevel="0" collapsed="false">
      <c r="A34" s="18" t="s">
        <v>97</v>
      </c>
      <c r="B34" s="19" t="s">
        <v>98</v>
      </c>
      <c r="C34" s="18" t="s">
        <v>20</v>
      </c>
      <c r="D34" s="18"/>
      <c r="E34" s="18"/>
      <c r="F34" s="18" t="s">
        <v>50</v>
      </c>
      <c r="G34" s="20" t="n">
        <v>46321</v>
      </c>
      <c r="H34" s="20" t="n">
        <v>46325</v>
      </c>
      <c r="I34" s="21" t="n">
        <v>46314</v>
      </c>
      <c r="J34" s="21" t="n">
        <v>46325</v>
      </c>
      <c r="K34" s="18" t="n">
        <f aca="false">IF(C34="Task",ROUND((J34-I34+3)/7,0),"")</f>
        <v>2</v>
      </c>
      <c r="L34" s="18" t="n">
        <v>1</v>
      </c>
      <c r="M34" s="21"/>
      <c r="N34" s="21"/>
      <c r="O34" s="22"/>
      <c r="P34" s="18" t="str">
        <f aca="false">IF(C34="Break","",IF(C34="Milestone",IF(N34&lt;&gt;"","Done",IF($D$4&gt;J34,"Overdue","Upcoming")),IF(N(O34)&gt;=1,"Done",IF($D$4&lt;I34,"Not started",IF($D$4&gt;J34,"Late",IF(N(O34)+0.1&lt;($D$4-I34+1)/(J34-I34+1),"Behind","On track"))))))</f>
        <v>Behind</v>
      </c>
      <c r="Q34" s="23" t="n">
        <f aca="false">IF(C34="Break","",ROUND((IF(N34&lt;&gt;"",N34,J34)-H34)/7,1))</f>
        <v>0</v>
      </c>
      <c r="R34" s="18" t="str">
        <f aca="false">IF(C34="Milestone",IF(N34&lt;&gt;"","✓",""),IF(AND(C34="Task",N(O34)&gt;=1),"✓",""))</f>
        <v/>
      </c>
      <c r="S34" s="18" t="n">
        <f aca="false">IF(C34="Task",K34*N(O34),"")</f>
        <v>0</v>
      </c>
      <c r="T34" s="24"/>
      <c r="U34" s="25" t="str">
        <f aca="false">IF($C34="Milestone",IF(AND(U$7&lt;=$I34,U$7+6&gt;=$I34),"◆",""),IF(AND($C34="Task",$M34&lt;&gt;"",U$7&lt;=IF($N34="",$D$4,$N34),U$7+6&gt;=$M34),"●",""))</f>
        <v/>
      </c>
      <c r="V34" s="25" t="str">
        <f aca="false">IF($C34="Milestone",IF(AND(V$7&lt;=$I34,V$7+6&gt;=$I34),"◆",""),IF(AND($C34="Task",$M34&lt;&gt;"",V$7&lt;=IF($N34="",$D$4,$N34),V$7+6&gt;=$M34),"●",""))</f>
        <v/>
      </c>
      <c r="W34" s="25" t="str">
        <f aca="false">IF($C34="Milestone",IF(AND(W$7&lt;=$I34,W$7+6&gt;=$I34),"◆",""),IF(AND($C34="Task",$M34&lt;&gt;"",W$7&lt;=IF($N34="",$D$4,$N34),W$7+6&gt;=$M34),"●",""))</f>
        <v/>
      </c>
      <c r="X34" s="25" t="str">
        <f aca="false">IF($C34="Milestone",IF(AND(X$7&lt;=$I34,X$7+6&gt;=$I34),"◆",""),IF(AND($C34="Task",$M34&lt;&gt;"",X$7&lt;=IF($N34="",$D$4,$N34),X$7+6&gt;=$M34),"●",""))</f>
        <v/>
      </c>
      <c r="Y34" s="25" t="str">
        <f aca="false">IF($C34="Milestone",IF(AND(Y$7&lt;=$I34,Y$7+6&gt;=$I34),"◆",""),IF(AND($C34="Task",$M34&lt;&gt;"",Y$7&lt;=IF($N34="",$D$4,$N34),Y$7+6&gt;=$M34),"●",""))</f>
        <v/>
      </c>
      <c r="Z34" s="25" t="str">
        <f aca="false">IF($C34="Milestone",IF(AND(Z$7&lt;=$I34,Z$7+6&gt;=$I34),"◆",""),IF(AND($C34="Task",$M34&lt;&gt;"",Z$7&lt;=IF($N34="",$D$4,$N34),Z$7+6&gt;=$M34),"●",""))</f>
        <v/>
      </c>
      <c r="AA34" s="25" t="str">
        <f aca="false">IF($C34="Milestone",IF(AND(AA$7&lt;=$I34,AA$7+6&gt;=$I34),"◆",""),IF(AND($C34="Task",$M34&lt;&gt;"",AA$7&lt;=IF($N34="",$D$4,$N34),AA$7+6&gt;=$M34),"●",""))</f>
        <v/>
      </c>
      <c r="AB34" s="25" t="str">
        <f aca="false">IF($C34="Milestone",IF(AND(AB$7&lt;=$I34,AB$7+6&gt;=$I34),"◆",""),IF(AND($C34="Task",$M34&lt;&gt;"",AB$7&lt;=IF($N34="",$D$4,$N34),AB$7+6&gt;=$M34),"●",""))</f>
        <v/>
      </c>
      <c r="AC34" s="25" t="str">
        <f aca="false">IF($C34="Milestone",IF(AND(AC$7&lt;=$I34,AC$7+6&gt;=$I34),"◆",""),IF(AND($C34="Task",$M34&lt;&gt;"",AC$7&lt;=IF($N34="",$D$4,$N34),AC$7+6&gt;=$M34),"●",""))</f>
        <v/>
      </c>
      <c r="AD34" s="25" t="str">
        <f aca="false">IF($C34="Milestone",IF(AND(AD$7&lt;=$I34,AD$7+6&gt;=$I34),"◆",""),IF(AND($C34="Task",$M34&lt;&gt;"",AD$7&lt;=IF($N34="",$D$4,$N34),AD$7+6&gt;=$M34),"●",""))</f>
        <v/>
      </c>
      <c r="AE34" s="25" t="str">
        <f aca="false">IF($C34="Milestone",IF(AND(AE$7&lt;=$I34,AE$7+6&gt;=$I34),"◆",""),IF(AND($C34="Task",$M34&lt;&gt;"",AE$7&lt;=IF($N34="",$D$4,$N34),AE$7+6&gt;=$M34),"●",""))</f>
        <v/>
      </c>
      <c r="AF34" s="25" t="str">
        <f aca="false">IF($C34="Milestone",IF(AND(AF$7&lt;=$I34,AF$7+6&gt;=$I34),"◆",""),IF(AND($C34="Task",$M34&lt;&gt;"",AF$7&lt;=IF($N34="",$D$4,$N34),AF$7+6&gt;=$M34),"●",""))</f>
        <v/>
      </c>
      <c r="AG34" s="25" t="str">
        <f aca="false">IF($C34="Milestone",IF(AND(AG$7&lt;=$I34,AG$7+6&gt;=$I34),"◆",""),IF(AND($C34="Task",$M34&lt;&gt;"",AG$7&lt;=IF($N34="",$D$4,$N34),AG$7+6&gt;=$M34),"●",""))</f>
        <v/>
      </c>
      <c r="AH34" s="25" t="str">
        <f aca="false">IF($C34="Milestone",IF(AND(AH$7&lt;=$I34,AH$7+6&gt;=$I34),"◆",""),IF(AND($C34="Task",$M34&lt;&gt;"",AH$7&lt;=IF($N34="",$D$4,$N34),AH$7+6&gt;=$M34),"●",""))</f>
        <v/>
      </c>
      <c r="AI34" s="25" t="str">
        <f aca="false">IF($C34="Milestone",IF(AND(AI$7&lt;=$I34,AI$7+6&gt;=$I34),"◆",""),IF(AND($C34="Task",$M34&lt;&gt;"",AI$7&lt;=IF($N34="",$D$4,$N34),AI$7+6&gt;=$M34),"●",""))</f>
        <v/>
      </c>
      <c r="AJ34" s="25" t="str">
        <f aca="false">IF($C34="Milestone",IF(AND(AJ$7&lt;=$I34,AJ$7+6&gt;=$I34),"◆",""),IF(AND($C34="Task",$M34&lt;&gt;"",AJ$7&lt;=IF($N34="",$D$4,$N34),AJ$7+6&gt;=$M34),"●",""))</f>
        <v/>
      </c>
      <c r="AK34" s="25" t="str">
        <f aca="false">IF($C34="Milestone",IF(AND(AK$7&lt;=$I34,AK$7+6&gt;=$I34),"◆",""),IF(AND($C34="Task",$M34&lt;&gt;"",AK$7&lt;=IF($N34="",$D$4,$N34),AK$7+6&gt;=$M34),"●",""))</f>
        <v/>
      </c>
      <c r="AL34" s="25" t="str">
        <f aca="false">IF($C34="Milestone",IF(AND(AL$7&lt;=$I34,AL$7+6&gt;=$I34),"◆",""),IF(AND($C34="Task",$M34&lt;&gt;"",AL$7&lt;=IF($N34="",$D$4,$N34),AL$7+6&gt;=$M34),"●",""))</f>
        <v/>
      </c>
      <c r="AM34" s="25" t="str">
        <f aca="false">IF($C34="Milestone",IF(AND(AM$7&lt;=$I34,AM$7+6&gt;=$I34),"◆",""),IF(AND($C34="Task",$M34&lt;&gt;"",AM$7&lt;=IF($N34="",$D$4,$N34),AM$7+6&gt;=$M34),"●",""))</f>
        <v/>
      </c>
      <c r="AN34" s="25" t="str">
        <f aca="false">IF($C34="Milestone",IF(AND(AN$7&lt;=$I34,AN$7+6&gt;=$I34),"◆",""),IF(AND($C34="Task",$M34&lt;&gt;"",AN$7&lt;=IF($N34="",$D$4,$N34),AN$7+6&gt;=$M34),"●",""))</f>
        <v/>
      </c>
      <c r="AO34" s="25" t="str">
        <f aca="false">IF($C34="Milestone",IF(AND(AO$7&lt;=$I34,AO$7+6&gt;=$I34),"◆",""),IF(AND($C34="Task",$M34&lt;&gt;"",AO$7&lt;=IF($N34="",$D$4,$N34),AO$7+6&gt;=$M34),"●",""))</f>
        <v/>
      </c>
      <c r="AP34" s="25" t="str">
        <f aca="false">IF($C34="Milestone",IF(AND(AP$7&lt;=$I34,AP$7+6&gt;=$I34),"◆",""),IF(AND($C34="Task",$M34&lt;&gt;"",AP$7&lt;=IF($N34="",$D$4,$N34),AP$7+6&gt;=$M34),"●",""))</f>
        <v/>
      </c>
      <c r="AQ34" s="25" t="str">
        <f aca="false">IF($C34="Milestone",IF(AND(AQ$7&lt;=$I34,AQ$7+6&gt;=$I34),"◆",""),IF(AND($C34="Task",$M34&lt;&gt;"",AQ$7&lt;=IF($N34="",$D$4,$N34),AQ$7+6&gt;=$M34),"●",""))</f>
        <v/>
      </c>
      <c r="AR34" s="25" t="str">
        <f aca="false">IF($C34="Milestone",IF(AND(AR$7&lt;=$I34,AR$7+6&gt;=$I34),"◆",""),IF(AND($C34="Task",$M34&lt;&gt;"",AR$7&lt;=IF($N34="",$D$4,$N34),AR$7+6&gt;=$M34),"●",""))</f>
        <v/>
      </c>
      <c r="AS34" s="25" t="str">
        <f aca="false">IF($C34="Milestone",IF(AND(AS$7&lt;=$I34,AS$7+6&gt;=$I34),"◆",""),IF(AND($C34="Task",$M34&lt;&gt;"",AS$7&lt;=IF($N34="",$D$4,$N34),AS$7+6&gt;=$M34),"●",""))</f>
        <v/>
      </c>
      <c r="AT34" s="25" t="str">
        <f aca="false">IF($C34="Milestone",IF(AND(AT$7&lt;=$I34,AT$7+6&gt;=$I34),"◆",""),IF(AND($C34="Task",$M34&lt;&gt;"",AT$7&lt;=IF($N34="",$D$4,$N34),AT$7+6&gt;=$M34),"●",""))</f>
        <v/>
      </c>
      <c r="AU34" s="25" t="str">
        <f aca="false">IF($C34="Milestone",IF(AND(AU$7&lt;=$I34,AU$7+6&gt;=$I34),"◆",""),IF(AND($C34="Task",$M34&lt;&gt;"",AU$7&lt;=IF($N34="",$D$4,$N34),AU$7+6&gt;=$M34),"●",""))</f>
        <v/>
      </c>
      <c r="AV34" s="25" t="str">
        <f aca="false">IF($C34="Milestone",IF(AND(AV$7&lt;=$I34,AV$7+6&gt;=$I34),"◆",""),IF(AND($C34="Task",$M34&lt;&gt;"",AV$7&lt;=IF($N34="",$D$4,$N34),AV$7+6&gt;=$M34),"●",""))</f>
        <v/>
      </c>
      <c r="AW34" s="25" t="str">
        <f aca="false">IF($C34="Milestone",IF(AND(AW$7&lt;=$I34,AW$7+6&gt;=$I34),"◆",""),IF(AND($C34="Task",$M34&lt;&gt;"",AW$7&lt;=IF($N34="",$D$4,$N34),AW$7+6&gt;=$M34),"●",""))</f>
        <v/>
      </c>
      <c r="AX34" s="25" t="str">
        <f aca="false">IF($C34="Milestone",IF(AND(AX$7&lt;=$I34,AX$7+6&gt;=$I34),"◆",""),IF(AND($C34="Task",$M34&lt;&gt;"",AX$7&lt;=IF($N34="",$D$4,$N34),AX$7+6&gt;=$M34),"●",""))</f>
        <v/>
      </c>
      <c r="AY34" s="25" t="str">
        <f aca="false">IF($C34="Milestone",IF(AND(AY$7&lt;=$I34,AY$7+6&gt;=$I34),"◆",""),IF(AND($C34="Task",$M34&lt;&gt;"",AY$7&lt;=IF($N34="",$D$4,$N34),AY$7+6&gt;=$M34),"●",""))</f>
        <v/>
      </c>
      <c r="AZ34" s="25" t="str">
        <f aca="false">IF($C34="Milestone",IF(AND(AZ$7&lt;=$I34,AZ$7+6&gt;=$I34),"◆",""),IF(AND($C34="Task",$M34&lt;&gt;"",AZ$7&lt;=IF($N34="",$D$4,$N34),AZ$7+6&gt;=$M34),"●",""))</f>
        <v/>
      </c>
    </row>
    <row r="35" customFormat="false" ht="18" hidden="false" customHeight="true" outlineLevel="0" collapsed="false">
      <c r="A35" s="18" t="s">
        <v>99</v>
      </c>
      <c r="B35" s="19" t="s">
        <v>100</v>
      </c>
      <c r="C35" s="18" t="s">
        <v>20</v>
      </c>
      <c r="D35" s="18" t="s">
        <v>101</v>
      </c>
      <c r="E35" s="18" t="s">
        <v>95</v>
      </c>
      <c r="F35" s="18" t="s">
        <v>44</v>
      </c>
      <c r="G35" s="20" t="n">
        <v>46328</v>
      </c>
      <c r="H35" s="20" t="n">
        <v>46332</v>
      </c>
      <c r="I35" s="21" t="n">
        <v>46321</v>
      </c>
      <c r="J35" s="21" t="n">
        <v>46325</v>
      </c>
      <c r="K35" s="18" t="n">
        <f aca="false">IF(C35="Task",ROUND((J35-I35+3)/7,0),"")</f>
        <v>1</v>
      </c>
      <c r="L35" s="18" t="n">
        <v>0</v>
      </c>
      <c r="M35" s="21"/>
      <c r="N35" s="21"/>
      <c r="O35" s="22"/>
      <c r="P35" s="18" t="str">
        <f aca="false">IF(C35="Break","",IF(C35="Milestone",IF(N35&lt;&gt;"","Done",IF($D$4&gt;J35,"Overdue","Upcoming")),IF(N(O35)&gt;=1,"Done",IF($D$4&lt;I35,"Not started",IF($D$4&gt;J35,"Late",IF(N(O35)+0.1&lt;($D$4-I35+1)/(J35-I35+1),"Behind","On track"))))))</f>
        <v>Not started</v>
      </c>
      <c r="Q35" s="23" t="n">
        <f aca="false">IF(C35="Break","",ROUND((IF(N35&lt;&gt;"",N35,J35)-H35)/7,1))</f>
        <v>-1</v>
      </c>
      <c r="R35" s="18" t="str">
        <f aca="false">IF(C35="Milestone",IF(N35&lt;&gt;"","✓",""),IF(AND(C35="Task",N(O35)&gt;=1),"✓",""))</f>
        <v/>
      </c>
      <c r="S35" s="18" t="n">
        <f aca="false">IF(C35="Task",K35*N(O35),"")</f>
        <v>0</v>
      </c>
      <c r="T35" s="24"/>
      <c r="U35" s="25" t="str">
        <f aca="false">IF($C35="Milestone",IF(AND(U$7&lt;=$I35,U$7+6&gt;=$I35),"◆",""),IF(AND($C35="Task",$M35&lt;&gt;"",U$7&lt;=IF($N35="",$D$4,$N35),U$7+6&gt;=$M35),"●",""))</f>
        <v/>
      </c>
      <c r="V35" s="25" t="str">
        <f aca="false">IF($C35="Milestone",IF(AND(V$7&lt;=$I35,V$7+6&gt;=$I35),"◆",""),IF(AND($C35="Task",$M35&lt;&gt;"",V$7&lt;=IF($N35="",$D$4,$N35),V$7+6&gt;=$M35),"●",""))</f>
        <v/>
      </c>
      <c r="W35" s="25" t="str">
        <f aca="false">IF($C35="Milestone",IF(AND(W$7&lt;=$I35,W$7+6&gt;=$I35),"◆",""),IF(AND($C35="Task",$M35&lt;&gt;"",W$7&lt;=IF($N35="",$D$4,$N35),W$7+6&gt;=$M35),"●",""))</f>
        <v/>
      </c>
      <c r="X35" s="25" t="str">
        <f aca="false">IF($C35="Milestone",IF(AND(X$7&lt;=$I35,X$7+6&gt;=$I35),"◆",""),IF(AND($C35="Task",$M35&lt;&gt;"",X$7&lt;=IF($N35="",$D$4,$N35),X$7+6&gt;=$M35),"●",""))</f>
        <v/>
      </c>
      <c r="Y35" s="25" t="str">
        <f aca="false">IF($C35="Milestone",IF(AND(Y$7&lt;=$I35,Y$7+6&gt;=$I35),"◆",""),IF(AND($C35="Task",$M35&lt;&gt;"",Y$7&lt;=IF($N35="",$D$4,$N35),Y$7+6&gt;=$M35),"●",""))</f>
        <v/>
      </c>
      <c r="Z35" s="25" t="str">
        <f aca="false">IF($C35="Milestone",IF(AND(Z$7&lt;=$I35,Z$7+6&gt;=$I35),"◆",""),IF(AND($C35="Task",$M35&lt;&gt;"",Z$7&lt;=IF($N35="",$D$4,$N35),Z$7+6&gt;=$M35),"●",""))</f>
        <v/>
      </c>
      <c r="AA35" s="25" t="str">
        <f aca="false">IF($C35="Milestone",IF(AND(AA$7&lt;=$I35,AA$7+6&gt;=$I35),"◆",""),IF(AND($C35="Task",$M35&lt;&gt;"",AA$7&lt;=IF($N35="",$D$4,$N35),AA$7+6&gt;=$M35),"●",""))</f>
        <v/>
      </c>
      <c r="AB35" s="25" t="str">
        <f aca="false">IF($C35="Milestone",IF(AND(AB$7&lt;=$I35,AB$7+6&gt;=$I35),"◆",""),IF(AND($C35="Task",$M35&lt;&gt;"",AB$7&lt;=IF($N35="",$D$4,$N35),AB$7+6&gt;=$M35),"●",""))</f>
        <v/>
      </c>
      <c r="AC35" s="25" t="str">
        <f aca="false">IF($C35="Milestone",IF(AND(AC$7&lt;=$I35,AC$7+6&gt;=$I35),"◆",""),IF(AND($C35="Task",$M35&lt;&gt;"",AC$7&lt;=IF($N35="",$D$4,$N35),AC$7+6&gt;=$M35),"●",""))</f>
        <v/>
      </c>
      <c r="AD35" s="25" t="str">
        <f aca="false">IF($C35="Milestone",IF(AND(AD$7&lt;=$I35,AD$7+6&gt;=$I35),"◆",""),IF(AND($C35="Task",$M35&lt;&gt;"",AD$7&lt;=IF($N35="",$D$4,$N35),AD$7+6&gt;=$M35),"●",""))</f>
        <v/>
      </c>
      <c r="AE35" s="25" t="str">
        <f aca="false">IF($C35="Milestone",IF(AND(AE$7&lt;=$I35,AE$7+6&gt;=$I35),"◆",""),IF(AND($C35="Task",$M35&lt;&gt;"",AE$7&lt;=IF($N35="",$D$4,$N35),AE$7+6&gt;=$M35),"●",""))</f>
        <v/>
      </c>
      <c r="AF35" s="25" t="str">
        <f aca="false">IF($C35="Milestone",IF(AND(AF$7&lt;=$I35,AF$7+6&gt;=$I35),"◆",""),IF(AND($C35="Task",$M35&lt;&gt;"",AF$7&lt;=IF($N35="",$D$4,$N35),AF$7+6&gt;=$M35),"●",""))</f>
        <v/>
      </c>
      <c r="AG35" s="25" t="str">
        <f aca="false">IF($C35="Milestone",IF(AND(AG$7&lt;=$I35,AG$7+6&gt;=$I35),"◆",""),IF(AND($C35="Task",$M35&lt;&gt;"",AG$7&lt;=IF($N35="",$D$4,$N35),AG$7+6&gt;=$M35),"●",""))</f>
        <v/>
      </c>
      <c r="AH35" s="25" t="str">
        <f aca="false">IF($C35="Milestone",IF(AND(AH$7&lt;=$I35,AH$7+6&gt;=$I35),"◆",""),IF(AND($C35="Task",$M35&lt;&gt;"",AH$7&lt;=IF($N35="",$D$4,$N35),AH$7+6&gt;=$M35),"●",""))</f>
        <v/>
      </c>
      <c r="AI35" s="25" t="str">
        <f aca="false">IF($C35="Milestone",IF(AND(AI$7&lt;=$I35,AI$7+6&gt;=$I35),"◆",""),IF(AND($C35="Task",$M35&lt;&gt;"",AI$7&lt;=IF($N35="",$D$4,$N35),AI$7+6&gt;=$M35),"●",""))</f>
        <v/>
      </c>
      <c r="AJ35" s="25" t="str">
        <f aca="false">IF($C35="Milestone",IF(AND(AJ$7&lt;=$I35,AJ$7+6&gt;=$I35),"◆",""),IF(AND($C35="Task",$M35&lt;&gt;"",AJ$7&lt;=IF($N35="",$D$4,$N35),AJ$7+6&gt;=$M35),"●",""))</f>
        <v/>
      </c>
      <c r="AK35" s="25" t="str">
        <f aca="false">IF($C35="Milestone",IF(AND(AK$7&lt;=$I35,AK$7+6&gt;=$I35),"◆",""),IF(AND($C35="Task",$M35&lt;&gt;"",AK$7&lt;=IF($N35="",$D$4,$N35),AK$7+6&gt;=$M35),"●",""))</f>
        <v/>
      </c>
      <c r="AL35" s="25" t="str">
        <f aca="false">IF($C35="Milestone",IF(AND(AL$7&lt;=$I35,AL$7+6&gt;=$I35),"◆",""),IF(AND($C35="Task",$M35&lt;&gt;"",AL$7&lt;=IF($N35="",$D$4,$N35),AL$7+6&gt;=$M35),"●",""))</f>
        <v/>
      </c>
      <c r="AM35" s="25" t="str">
        <f aca="false">IF($C35="Milestone",IF(AND(AM$7&lt;=$I35,AM$7+6&gt;=$I35),"◆",""),IF(AND($C35="Task",$M35&lt;&gt;"",AM$7&lt;=IF($N35="",$D$4,$N35),AM$7+6&gt;=$M35),"●",""))</f>
        <v/>
      </c>
      <c r="AN35" s="25" t="str">
        <f aca="false">IF($C35="Milestone",IF(AND(AN$7&lt;=$I35,AN$7+6&gt;=$I35),"◆",""),IF(AND($C35="Task",$M35&lt;&gt;"",AN$7&lt;=IF($N35="",$D$4,$N35),AN$7+6&gt;=$M35),"●",""))</f>
        <v/>
      </c>
      <c r="AO35" s="25" t="str">
        <f aca="false">IF($C35="Milestone",IF(AND(AO$7&lt;=$I35,AO$7+6&gt;=$I35),"◆",""),IF(AND($C35="Task",$M35&lt;&gt;"",AO$7&lt;=IF($N35="",$D$4,$N35),AO$7+6&gt;=$M35),"●",""))</f>
        <v/>
      </c>
      <c r="AP35" s="25" t="str">
        <f aca="false">IF($C35="Milestone",IF(AND(AP$7&lt;=$I35,AP$7+6&gt;=$I35),"◆",""),IF(AND($C35="Task",$M35&lt;&gt;"",AP$7&lt;=IF($N35="",$D$4,$N35),AP$7+6&gt;=$M35),"●",""))</f>
        <v/>
      </c>
      <c r="AQ35" s="25" t="str">
        <f aca="false">IF($C35="Milestone",IF(AND(AQ$7&lt;=$I35,AQ$7+6&gt;=$I35),"◆",""),IF(AND($C35="Task",$M35&lt;&gt;"",AQ$7&lt;=IF($N35="",$D$4,$N35),AQ$7+6&gt;=$M35),"●",""))</f>
        <v/>
      </c>
      <c r="AR35" s="25" t="str">
        <f aca="false">IF($C35="Milestone",IF(AND(AR$7&lt;=$I35,AR$7+6&gt;=$I35),"◆",""),IF(AND($C35="Task",$M35&lt;&gt;"",AR$7&lt;=IF($N35="",$D$4,$N35),AR$7+6&gt;=$M35),"●",""))</f>
        <v/>
      </c>
      <c r="AS35" s="25" t="str">
        <f aca="false">IF($C35="Milestone",IF(AND(AS$7&lt;=$I35,AS$7+6&gt;=$I35),"◆",""),IF(AND($C35="Task",$M35&lt;&gt;"",AS$7&lt;=IF($N35="",$D$4,$N35),AS$7+6&gt;=$M35),"●",""))</f>
        <v/>
      </c>
      <c r="AT35" s="25" t="str">
        <f aca="false">IF($C35="Milestone",IF(AND(AT$7&lt;=$I35,AT$7+6&gt;=$I35),"◆",""),IF(AND($C35="Task",$M35&lt;&gt;"",AT$7&lt;=IF($N35="",$D$4,$N35),AT$7+6&gt;=$M35),"●",""))</f>
        <v/>
      </c>
      <c r="AU35" s="25" t="str">
        <f aca="false">IF($C35="Milestone",IF(AND(AU$7&lt;=$I35,AU$7+6&gt;=$I35),"◆",""),IF(AND($C35="Task",$M35&lt;&gt;"",AU$7&lt;=IF($N35="",$D$4,$N35),AU$7+6&gt;=$M35),"●",""))</f>
        <v/>
      </c>
      <c r="AV35" s="25" t="str">
        <f aca="false">IF($C35="Milestone",IF(AND(AV$7&lt;=$I35,AV$7+6&gt;=$I35),"◆",""),IF(AND($C35="Task",$M35&lt;&gt;"",AV$7&lt;=IF($N35="",$D$4,$N35),AV$7+6&gt;=$M35),"●",""))</f>
        <v/>
      </c>
      <c r="AW35" s="25" t="str">
        <f aca="false">IF($C35="Milestone",IF(AND(AW$7&lt;=$I35,AW$7+6&gt;=$I35),"◆",""),IF(AND($C35="Task",$M35&lt;&gt;"",AW$7&lt;=IF($N35="",$D$4,$N35),AW$7+6&gt;=$M35),"●",""))</f>
        <v/>
      </c>
      <c r="AX35" s="25" t="str">
        <f aca="false">IF($C35="Milestone",IF(AND(AX$7&lt;=$I35,AX$7+6&gt;=$I35),"◆",""),IF(AND($C35="Task",$M35&lt;&gt;"",AX$7&lt;=IF($N35="",$D$4,$N35),AX$7+6&gt;=$M35),"●",""))</f>
        <v/>
      </c>
      <c r="AY35" s="25" t="str">
        <f aca="false">IF($C35="Milestone",IF(AND(AY$7&lt;=$I35,AY$7+6&gt;=$I35),"◆",""),IF(AND($C35="Task",$M35&lt;&gt;"",AY$7&lt;=IF($N35="",$D$4,$N35),AY$7+6&gt;=$M35),"●",""))</f>
        <v/>
      </c>
      <c r="AZ35" s="25" t="str">
        <f aca="false">IF($C35="Milestone",IF(AND(AZ$7&lt;=$I35,AZ$7+6&gt;=$I35),"◆",""),IF(AND($C35="Task",$M35&lt;&gt;"",AZ$7&lt;=IF($N35="",$D$4,$N35),AZ$7+6&gt;=$M35),"●",""))</f>
        <v/>
      </c>
    </row>
    <row r="36" customFormat="false" ht="18" hidden="false" customHeight="true" outlineLevel="0" collapsed="false">
      <c r="A36" s="18" t="s">
        <v>102</v>
      </c>
      <c r="B36" s="19" t="s">
        <v>103</v>
      </c>
      <c r="C36" s="18" t="s">
        <v>20</v>
      </c>
      <c r="D36" s="18" t="s">
        <v>101</v>
      </c>
      <c r="E36" s="18" t="s">
        <v>99</v>
      </c>
      <c r="F36" s="18" t="s">
        <v>44</v>
      </c>
      <c r="G36" s="20" t="n">
        <v>46335</v>
      </c>
      <c r="H36" s="20" t="n">
        <v>46339</v>
      </c>
      <c r="I36" s="21" t="n">
        <v>46328</v>
      </c>
      <c r="J36" s="21" t="n">
        <v>46332</v>
      </c>
      <c r="K36" s="18" t="n">
        <f aca="false">IF(C36="Task",ROUND((J36-I36+3)/7,0),"")</f>
        <v>1</v>
      </c>
      <c r="L36" s="18" t="n">
        <v>0</v>
      </c>
      <c r="M36" s="21"/>
      <c r="N36" s="21"/>
      <c r="O36" s="22"/>
      <c r="P36" s="18" t="str">
        <f aca="false">IF(C36="Break","",IF(C36="Milestone",IF(N36&lt;&gt;"","Done",IF($D$4&gt;J36,"Overdue","Upcoming")),IF(N(O36)&gt;=1,"Done",IF($D$4&lt;I36,"Not started",IF($D$4&gt;J36,"Late",IF(N(O36)+0.1&lt;($D$4-I36+1)/(J36-I36+1),"Behind","On track"))))))</f>
        <v>Not started</v>
      </c>
      <c r="Q36" s="23" t="n">
        <f aca="false">IF(C36="Break","",ROUND((IF(N36&lt;&gt;"",N36,J36)-H36)/7,1))</f>
        <v>-1</v>
      </c>
      <c r="R36" s="18" t="str">
        <f aca="false">IF(C36="Milestone",IF(N36&lt;&gt;"","✓",""),IF(AND(C36="Task",N(O36)&gt;=1),"✓",""))</f>
        <v/>
      </c>
      <c r="S36" s="18" t="n">
        <f aca="false">IF(C36="Task",K36*N(O36),"")</f>
        <v>0</v>
      </c>
      <c r="T36" s="24"/>
      <c r="U36" s="25" t="str">
        <f aca="false">IF($C36="Milestone",IF(AND(U$7&lt;=$I36,U$7+6&gt;=$I36),"◆",""),IF(AND($C36="Task",$M36&lt;&gt;"",U$7&lt;=IF($N36="",$D$4,$N36),U$7+6&gt;=$M36),"●",""))</f>
        <v/>
      </c>
      <c r="V36" s="25" t="str">
        <f aca="false">IF($C36="Milestone",IF(AND(V$7&lt;=$I36,V$7+6&gt;=$I36),"◆",""),IF(AND($C36="Task",$M36&lt;&gt;"",V$7&lt;=IF($N36="",$D$4,$N36),V$7+6&gt;=$M36),"●",""))</f>
        <v/>
      </c>
      <c r="W36" s="25" t="str">
        <f aca="false">IF($C36="Milestone",IF(AND(W$7&lt;=$I36,W$7+6&gt;=$I36),"◆",""),IF(AND($C36="Task",$M36&lt;&gt;"",W$7&lt;=IF($N36="",$D$4,$N36),W$7+6&gt;=$M36),"●",""))</f>
        <v/>
      </c>
      <c r="X36" s="25" t="str">
        <f aca="false">IF($C36="Milestone",IF(AND(X$7&lt;=$I36,X$7+6&gt;=$I36),"◆",""),IF(AND($C36="Task",$M36&lt;&gt;"",X$7&lt;=IF($N36="",$D$4,$N36),X$7+6&gt;=$M36),"●",""))</f>
        <v/>
      </c>
      <c r="Y36" s="25" t="str">
        <f aca="false">IF($C36="Milestone",IF(AND(Y$7&lt;=$I36,Y$7+6&gt;=$I36),"◆",""),IF(AND($C36="Task",$M36&lt;&gt;"",Y$7&lt;=IF($N36="",$D$4,$N36),Y$7+6&gt;=$M36),"●",""))</f>
        <v/>
      </c>
      <c r="Z36" s="25" t="str">
        <f aca="false">IF($C36="Milestone",IF(AND(Z$7&lt;=$I36,Z$7+6&gt;=$I36),"◆",""),IF(AND($C36="Task",$M36&lt;&gt;"",Z$7&lt;=IF($N36="",$D$4,$N36),Z$7+6&gt;=$M36),"●",""))</f>
        <v/>
      </c>
      <c r="AA36" s="25" t="str">
        <f aca="false">IF($C36="Milestone",IF(AND(AA$7&lt;=$I36,AA$7+6&gt;=$I36),"◆",""),IF(AND($C36="Task",$M36&lt;&gt;"",AA$7&lt;=IF($N36="",$D$4,$N36),AA$7+6&gt;=$M36),"●",""))</f>
        <v/>
      </c>
      <c r="AB36" s="25" t="str">
        <f aca="false">IF($C36="Milestone",IF(AND(AB$7&lt;=$I36,AB$7+6&gt;=$I36),"◆",""),IF(AND($C36="Task",$M36&lt;&gt;"",AB$7&lt;=IF($N36="",$D$4,$N36),AB$7+6&gt;=$M36),"●",""))</f>
        <v/>
      </c>
      <c r="AC36" s="25" t="str">
        <f aca="false">IF($C36="Milestone",IF(AND(AC$7&lt;=$I36,AC$7+6&gt;=$I36),"◆",""),IF(AND($C36="Task",$M36&lt;&gt;"",AC$7&lt;=IF($N36="",$D$4,$N36),AC$7+6&gt;=$M36),"●",""))</f>
        <v/>
      </c>
      <c r="AD36" s="25" t="str">
        <f aca="false">IF($C36="Milestone",IF(AND(AD$7&lt;=$I36,AD$7+6&gt;=$I36),"◆",""),IF(AND($C36="Task",$M36&lt;&gt;"",AD$7&lt;=IF($N36="",$D$4,$N36),AD$7+6&gt;=$M36),"●",""))</f>
        <v/>
      </c>
      <c r="AE36" s="25" t="str">
        <f aca="false">IF($C36="Milestone",IF(AND(AE$7&lt;=$I36,AE$7+6&gt;=$I36),"◆",""),IF(AND($C36="Task",$M36&lt;&gt;"",AE$7&lt;=IF($N36="",$D$4,$N36),AE$7+6&gt;=$M36),"●",""))</f>
        <v/>
      </c>
      <c r="AF36" s="25" t="str">
        <f aca="false">IF($C36="Milestone",IF(AND(AF$7&lt;=$I36,AF$7+6&gt;=$I36),"◆",""),IF(AND($C36="Task",$M36&lt;&gt;"",AF$7&lt;=IF($N36="",$D$4,$N36),AF$7+6&gt;=$M36),"●",""))</f>
        <v/>
      </c>
      <c r="AG36" s="25" t="str">
        <f aca="false">IF($C36="Milestone",IF(AND(AG$7&lt;=$I36,AG$7+6&gt;=$I36),"◆",""),IF(AND($C36="Task",$M36&lt;&gt;"",AG$7&lt;=IF($N36="",$D$4,$N36),AG$7+6&gt;=$M36),"●",""))</f>
        <v/>
      </c>
      <c r="AH36" s="25" t="str">
        <f aca="false">IF($C36="Milestone",IF(AND(AH$7&lt;=$I36,AH$7+6&gt;=$I36),"◆",""),IF(AND($C36="Task",$M36&lt;&gt;"",AH$7&lt;=IF($N36="",$D$4,$N36),AH$7+6&gt;=$M36),"●",""))</f>
        <v/>
      </c>
      <c r="AI36" s="25" t="str">
        <f aca="false">IF($C36="Milestone",IF(AND(AI$7&lt;=$I36,AI$7+6&gt;=$I36),"◆",""),IF(AND($C36="Task",$M36&lt;&gt;"",AI$7&lt;=IF($N36="",$D$4,$N36),AI$7+6&gt;=$M36),"●",""))</f>
        <v/>
      </c>
      <c r="AJ36" s="25" t="str">
        <f aca="false">IF($C36="Milestone",IF(AND(AJ$7&lt;=$I36,AJ$7+6&gt;=$I36),"◆",""),IF(AND($C36="Task",$M36&lt;&gt;"",AJ$7&lt;=IF($N36="",$D$4,$N36),AJ$7+6&gt;=$M36),"●",""))</f>
        <v/>
      </c>
      <c r="AK36" s="25" t="str">
        <f aca="false">IF($C36="Milestone",IF(AND(AK$7&lt;=$I36,AK$7+6&gt;=$I36),"◆",""),IF(AND($C36="Task",$M36&lt;&gt;"",AK$7&lt;=IF($N36="",$D$4,$N36),AK$7+6&gt;=$M36),"●",""))</f>
        <v/>
      </c>
      <c r="AL36" s="25" t="str">
        <f aca="false">IF($C36="Milestone",IF(AND(AL$7&lt;=$I36,AL$7+6&gt;=$I36),"◆",""),IF(AND($C36="Task",$M36&lt;&gt;"",AL$7&lt;=IF($N36="",$D$4,$N36),AL$7+6&gt;=$M36),"●",""))</f>
        <v/>
      </c>
      <c r="AM36" s="25" t="str">
        <f aca="false">IF($C36="Milestone",IF(AND(AM$7&lt;=$I36,AM$7+6&gt;=$I36),"◆",""),IF(AND($C36="Task",$M36&lt;&gt;"",AM$7&lt;=IF($N36="",$D$4,$N36),AM$7+6&gt;=$M36),"●",""))</f>
        <v/>
      </c>
      <c r="AN36" s="25" t="str">
        <f aca="false">IF($C36="Milestone",IF(AND(AN$7&lt;=$I36,AN$7+6&gt;=$I36),"◆",""),IF(AND($C36="Task",$M36&lt;&gt;"",AN$7&lt;=IF($N36="",$D$4,$N36),AN$7+6&gt;=$M36),"●",""))</f>
        <v/>
      </c>
      <c r="AO36" s="25" t="str">
        <f aca="false">IF($C36="Milestone",IF(AND(AO$7&lt;=$I36,AO$7+6&gt;=$I36),"◆",""),IF(AND($C36="Task",$M36&lt;&gt;"",AO$7&lt;=IF($N36="",$D$4,$N36),AO$7+6&gt;=$M36),"●",""))</f>
        <v/>
      </c>
      <c r="AP36" s="25" t="str">
        <f aca="false">IF($C36="Milestone",IF(AND(AP$7&lt;=$I36,AP$7+6&gt;=$I36),"◆",""),IF(AND($C36="Task",$M36&lt;&gt;"",AP$7&lt;=IF($N36="",$D$4,$N36),AP$7+6&gt;=$M36),"●",""))</f>
        <v/>
      </c>
      <c r="AQ36" s="25" t="str">
        <f aca="false">IF($C36="Milestone",IF(AND(AQ$7&lt;=$I36,AQ$7+6&gt;=$I36),"◆",""),IF(AND($C36="Task",$M36&lt;&gt;"",AQ$7&lt;=IF($N36="",$D$4,$N36),AQ$7+6&gt;=$M36),"●",""))</f>
        <v/>
      </c>
      <c r="AR36" s="25" t="str">
        <f aca="false">IF($C36="Milestone",IF(AND(AR$7&lt;=$I36,AR$7+6&gt;=$I36),"◆",""),IF(AND($C36="Task",$M36&lt;&gt;"",AR$7&lt;=IF($N36="",$D$4,$N36),AR$7+6&gt;=$M36),"●",""))</f>
        <v/>
      </c>
      <c r="AS36" s="25" t="str">
        <f aca="false">IF($C36="Milestone",IF(AND(AS$7&lt;=$I36,AS$7+6&gt;=$I36),"◆",""),IF(AND($C36="Task",$M36&lt;&gt;"",AS$7&lt;=IF($N36="",$D$4,$N36),AS$7+6&gt;=$M36),"●",""))</f>
        <v/>
      </c>
      <c r="AT36" s="25" t="str">
        <f aca="false">IF($C36="Milestone",IF(AND(AT$7&lt;=$I36,AT$7+6&gt;=$I36),"◆",""),IF(AND($C36="Task",$M36&lt;&gt;"",AT$7&lt;=IF($N36="",$D$4,$N36),AT$7+6&gt;=$M36),"●",""))</f>
        <v/>
      </c>
      <c r="AU36" s="25" t="str">
        <f aca="false">IF($C36="Milestone",IF(AND(AU$7&lt;=$I36,AU$7+6&gt;=$I36),"◆",""),IF(AND($C36="Task",$M36&lt;&gt;"",AU$7&lt;=IF($N36="",$D$4,$N36),AU$7+6&gt;=$M36),"●",""))</f>
        <v/>
      </c>
      <c r="AV36" s="25" t="str">
        <f aca="false">IF($C36="Milestone",IF(AND(AV$7&lt;=$I36,AV$7+6&gt;=$I36),"◆",""),IF(AND($C36="Task",$M36&lt;&gt;"",AV$7&lt;=IF($N36="",$D$4,$N36),AV$7+6&gt;=$M36),"●",""))</f>
        <v/>
      </c>
      <c r="AW36" s="25" t="str">
        <f aca="false">IF($C36="Milestone",IF(AND(AW$7&lt;=$I36,AW$7+6&gt;=$I36),"◆",""),IF(AND($C36="Task",$M36&lt;&gt;"",AW$7&lt;=IF($N36="",$D$4,$N36),AW$7+6&gt;=$M36),"●",""))</f>
        <v/>
      </c>
      <c r="AX36" s="25" t="str">
        <f aca="false">IF($C36="Milestone",IF(AND(AX$7&lt;=$I36,AX$7+6&gt;=$I36),"◆",""),IF(AND($C36="Task",$M36&lt;&gt;"",AX$7&lt;=IF($N36="",$D$4,$N36),AX$7+6&gt;=$M36),"●",""))</f>
        <v/>
      </c>
      <c r="AY36" s="25" t="str">
        <f aca="false">IF($C36="Milestone",IF(AND(AY$7&lt;=$I36,AY$7+6&gt;=$I36),"◆",""),IF(AND($C36="Task",$M36&lt;&gt;"",AY$7&lt;=IF($N36="",$D$4,$N36),AY$7+6&gt;=$M36),"●",""))</f>
        <v/>
      </c>
      <c r="AZ36" s="25" t="str">
        <f aca="false">IF($C36="Milestone",IF(AND(AZ$7&lt;=$I36,AZ$7+6&gt;=$I36),"◆",""),IF(AND($C36="Task",$M36&lt;&gt;"",AZ$7&lt;=IF($N36="",$D$4,$N36),AZ$7+6&gt;=$M36),"●",""))</f>
        <v/>
      </c>
    </row>
    <row r="37" customFormat="false" ht="18" hidden="false" customHeight="true" outlineLevel="0" collapsed="false">
      <c r="A37" s="18" t="s">
        <v>104</v>
      </c>
      <c r="B37" s="19" t="s">
        <v>105</v>
      </c>
      <c r="C37" s="18" t="s">
        <v>20</v>
      </c>
      <c r="D37" s="18" t="s">
        <v>101</v>
      </c>
      <c r="E37" s="18" t="s">
        <v>102</v>
      </c>
      <c r="F37" s="18" t="s">
        <v>44</v>
      </c>
      <c r="G37" s="20" t="n">
        <v>46342</v>
      </c>
      <c r="H37" s="20" t="n">
        <v>46346</v>
      </c>
      <c r="I37" s="21" t="n">
        <v>46335</v>
      </c>
      <c r="J37" s="21" t="n">
        <v>46339</v>
      </c>
      <c r="K37" s="18" t="n">
        <f aca="false">IF(C37="Task",ROUND((J37-I37+3)/7,0),"")</f>
        <v>1</v>
      </c>
      <c r="L37" s="18" t="n">
        <v>0</v>
      </c>
      <c r="M37" s="21"/>
      <c r="N37" s="21"/>
      <c r="O37" s="22"/>
      <c r="P37" s="18" t="str">
        <f aca="false">IF(C37="Break","",IF(C37="Milestone",IF(N37&lt;&gt;"","Done",IF($D$4&gt;J37,"Overdue","Upcoming")),IF(N(O37)&gt;=1,"Done",IF($D$4&lt;I37,"Not started",IF($D$4&gt;J37,"Late",IF(N(O37)+0.1&lt;($D$4-I37+1)/(J37-I37+1),"Behind","On track"))))))</f>
        <v>Not started</v>
      </c>
      <c r="Q37" s="23" t="n">
        <f aca="false">IF(C37="Break","",ROUND((IF(N37&lt;&gt;"",N37,J37)-H37)/7,1))</f>
        <v>-1</v>
      </c>
      <c r="R37" s="18" t="str">
        <f aca="false">IF(C37="Milestone",IF(N37&lt;&gt;"","✓",""),IF(AND(C37="Task",N(O37)&gt;=1),"✓",""))</f>
        <v/>
      </c>
      <c r="S37" s="18" t="n">
        <f aca="false">IF(C37="Task",K37*N(O37),"")</f>
        <v>0</v>
      </c>
      <c r="T37" s="24"/>
      <c r="U37" s="25" t="str">
        <f aca="false">IF($C37="Milestone",IF(AND(U$7&lt;=$I37,U$7+6&gt;=$I37),"◆",""),IF(AND($C37="Task",$M37&lt;&gt;"",U$7&lt;=IF($N37="",$D$4,$N37),U$7+6&gt;=$M37),"●",""))</f>
        <v/>
      </c>
      <c r="V37" s="25" t="str">
        <f aca="false">IF($C37="Milestone",IF(AND(V$7&lt;=$I37,V$7+6&gt;=$I37),"◆",""),IF(AND($C37="Task",$M37&lt;&gt;"",V$7&lt;=IF($N37="",$D$4,$N37),V$7+6&gt;=$M37),"●",""))</f>
        <v/>
      </c>
      <c r="W37" s="25" t="str">
        <f aca="false">IF($C37="Milestone",IF(AND(W$7&lt;=$I37,W$7+6&gt;=$I37),"◆",""),IF(AND($C37="Task",$M37&lt;&gt;"",W$7&lt;=IF($N37="",$D$4,$N37),W$7+6&gt;=$M37),"●",""))</f>
        <v/>
      </c>
      <c r="X37" s="25" t="str">
        <f aca="false">IF($C37="Milestone",IF(AND(X$7&lt;=$I37,X$7+6&gt;=$I37),"◆",""),IF(AND($C37="Task",$M37&lt;&gt;"",X$7&lt;=IF($N37="",$D$4,$N37),X$7+6&gt;=$M37),"●",""))</f>
        <v/>
      </c>
      <c r="Y37" s="25" t="str">
        <f aca="false">IF($C37="Milestone",IF(AND(Y$7&lt;=$I37,Y$7+6&gt;=$I37),"◆",""),IF(AND($C37="Task",$M37&lt;&gt;"",Y$7&lt;=IF($N37="",$D$4,$N37),Y$7+6&gt;=$M37),"●",""))</f>
        <v/>
      </c>
      <c r="Z37" s="25" t="str">
        <f aca="false">IF($C37="Milestone",IF(AND(Z$7&lt;=$I37,Z$7+6&gt;=$I37),"◆",""),IF(AND($C37="Task",$M37&lt;&gt;"",Z$7&lt;=IF($N37="",$D$4,$N37),Z$7+6&gt;=$M37),"●",""))</f>
        <v/>
      </c>
      <c r="AA37" s="25" t="str">
        <f aca="false">IF($C37="Milestone",IF(AND(AA$7&lt;=$I37,AA$7+6&gt;=$I37),"◆",""),IF(AND($C37="Task",$M37&lt;&gt;"",AA$7&lt;=IF($N37="",$D$4,$N37),AA$7+6&gt;=$M37),"●",""))</f>
        <v/>
      </c>
      <c r="AB37" s="25" t="str">
        <f aca="false">IF($C37="Milestone",IF(AND(AB$7&lt;=$I37,AB$7+6&gt;=$I37),"◆",""),IF(AND($C37="Task",$M37&lt;&gt;"",AB$7&lt;=IF($N37="",$D$4,$N37),AB$7+6&gt;=$M37),"●",""))</f>
        <v/>
      </c>
      <c r="AC37" s="25" t="str">
        <f aca="false">IF($C37="Milestone",IF(AND(AC$7&lt;=$I37,AC$7+6&gt;=$I37),"◆",""),IF(AND($C37="Task",$M37&lt;&gt;"",AC$7&lt;=IF($N37="",$D$4,$N37),AC$7+6&gt;=$M37),"●",""))</f>
        <v/>
      </c>
      <c r="AD37" s="25" t="str">
        <f aca="false">IF($C37="Milestone",IF(AND(AD$7&lt;=$I37,AD$7+6&gt;=$I37),"◆",""),IF(AND($C37="Task",$M37&lt;&gt;"",AD$7&lt;=IF($N37="",$D$4,$N37),AD$7+6&gt;=$M37),"●",""))</f>
        <v/>
      </c>
      <c r="AE37" s="25" t="str">
        <f aca="false">IF($C37="Milestone",IF(AND(AE$7&lt;=$I37,AE$7+6&gt;=$I37),"◆",""),IF(AND($C37="Task",$M37&lt;&gt;"",AE$7&lt;=IF($N37="",$D$4,$N37),AE$7+6&gt;=$M37),"●",""))</f>
        <v/>
      </c>
      <c r="AF37" s="25" t="str">
        <f aca="false">IF($C37="Milestone",IF(AND(AF$7&lt;=$I37,AF$7+6&gt;=$I37),"◆",""),IF(AND($C37="Task",$M37&lt;&gt;"",AF$7&lt;=IF($N37="",$D$4,$N37),AF$7+6&gt;=$M37),"●",""))</f>
        <v/>
      </c>
      <c r="AG37" s="25" t="str">
        <f aca="false">IF($C37="Milestone",IF(AND(AG$7&lt;=$I37,AG$7+6&gt;=$I37),"◆",""),IF(AND($C37="Task",$M37&lt;&gt;"",AG$7&lt;=IF($N37="",$D$4,$N37),AG$7+6&gt;=$M37),"●",""))</f>
        <v/>
      </c>
      <c r="AH37" s="25" t="str">
        <f aca="false">IF($C37="Milestone",IF(AND(AH$7&lt;=$I37,AH$7+6&gt;=$I37),"◆",""),IF(AND($C37="Task",$M37&lt;&gt;"",AH$7&lt;=IF($N37="",$D$4,$N37),AH$7+6&gt;=$M37),"●",""))</f>
        <v/>
      </c>
      <c r="AI37" s="25" t="str">
        <f aca="false">IF($C37="Milestone",IF(AND(AI$7&lt;=$I37,AI$7+6&gt;=$I37),"◆",""),IF(AND($C37="Task",$M37&lt;&gt;"",AI$7&lt;=IF($N37="",$D$4,$N37),AI$7+6&gt;=$M37),"●",""))</f>
        <v/>
      </c>
      <c r="AJ37" s="25" t="str">
        <f aca="false">IF($C37="Milestone",IF(AND(AJ$7&lt;=$I37,AJ$7+6&gt;=$I37),"◆",""),IF(AND($C37="Task",$M37&lt;&gt;"",AJ$7&lt;=IF($N37="",$D$4,$N37),AJ$7+6&gt;=$M37),"●",""))</f>
        <v/>
      </c>
      <c r="AK37" s="25" t="str">
        <f aca="false">IF($C37="Milestone",IF(AND(AK$7&lt;=$I37,AK$7+6&gt;=$I37),"◆",""),IF(AND($C37="Task",$M37&lt;&gt;"",AK$7&lt;=IF($N37="",$D$4,$N37),AK$7+6&gt;=$M37),"●",""))</f>
        <v/>
      </c>
      <c r="AL37" s="25" t="str">
        <f aca="false">IF($C37="Milestone",IF(AND(AL$7&lt;=$I37,AL$7+6&gt;=$I37),"◆",""),IF(AND($C37="Task",$M37&lt;&gt;"",AL$7&lt;=IF($N37="",$D$4,$N37),AL$7+6&gt;=$M37),"●",""))</f>
        <v/>
      </c>
      <c r="AM37" s="25" t="str">
        <f aca="false">IF($C37="Milestone",IF(AND(AM$7&lt;=$I37,AM$7+6&gt;=$I37),"◆",""),IF(AND($C37="Task",$M37&lt;&gt;"",AM$7&lt;=IF($N37="",$D$4,$N37),AM$7+6&gt;=$M37),"●",""))</f>
        <v/>
      </c>
      <c r="AN37" s="25" t="str">
        <f aca="false">IF($C37="Milestone",IF(AND(AN$7&lt;=$I37,AN$7+6&gt;=$I37),"◆",""),IF(AND($C37="Task",$M37&lt;&gt;"",AN$7&lt;=IF($N37="",$D$4,$N37),AN$7+6&gt;=$M37),"●",""))</f>
        <v/>
      </c>
      <c r="AO37" s="25" t="str">
        <f aca="false">IF($C37="Milestone",IF(AND(AO$7&lt;=$I37,AO$7+6&gt;=$I37),"◆",""),IF(AND($C37="Task",$M37&lt;&gt;"",AO$7&lt;=IF($N37="",$D$4,$N37),AO$7+6&gt;=$M37),"●",""))</f>
        <v/>
      </c>
      <c r="AP37" s="25" t="str">
        <f aca="false">IF($C37="Milestone",IF(AND(AP$7&lt;=$I37,AP$7+6&gt;=$I37),"◆",""),IF(AND($C37="Task",$M37&lt;&gt;"",AP$7&lt;=IF($N37="",$D$4,$N37),AP$7+6&gt;=$M37),"●",""))</f>
        <v/>
      </c>
      <c r="AQ37" s="25" t="str">
        <f aca="false">IF($C37="Milestone",IF(AND(AQ$7&lt;=$I37,AQ$7+6&gt;=$I37),"◆",""),IF(AND($C37="Task",$M37&lt;&gt;"",AQ$7&lt;=IF($N37="",$D$4,$N37),AQ$7+6&gt;=$M37),"●",""))</f>
        <v/>
      </c>
      <c r="AR37" s="25" t="str">
        <f aca="false">IF($C37="Milestone",IF(AND(AR$7&lt;=$I37,AR$7+6&gt;=$I37),"◆",""),IF(AND($C37="Task",$M37&lt;&gt;"",AR$7&lt;=IF($N37="",$D$4,$N37),AR$7+6&gt;=$M37),"●",""))</f>
        <v/>
      </c>
      <c r="AS37" s="25" t="str">
        <f aca="false">IF($C37="Milestone",IF(AND(AS$7&lt;=$I37,AS$7+6&gt;=$I37),"◆",""),IF(AND($C37="Task",$M37&lt;&gt;"",AS$7&lt;=IF($N37="",$D$4,$N37),AS$7+6&gt;=$M37),"●",""))</f>
        <v/>
      </c>
      <c r="AT37" s="25" t="str">
        <f aca="false">IF($C37="Milestone",IF(AND(AT$7&lt;=$I37,AT$7+6&gt;=$I37),"◆",""),IF(AND($C37="Task",$M37&lt;&gt;"",AT$7&lt;=IF($N37="",$D$4,$N37),AT$7+6&gt;=$M37),"●",""))</f>
        <v/>
      </c>
      <c r="AU37" s="25" t="str">
        <f aca="false">IF($C37="Milestone",IF(AND(AU$7&lt;=$I37,AU$7+6&gt;=$I37),"◆",""),IF(AND($C37="Task",$M37&lt;&gt;"",AU$7&lt;=IF($N37="",$D$4,$N37),AU$7+6&gt;=$M37),"●",""))</f>
        <v/>
      </c>
      <c r="AV37" s="25" t="str">
        <f aca="false">IF($C37="Milestone",IF(AND(AV$7&lt;=$I37,AV$7+6&gt;=$I37),"◆",""),IF(AND($C37="Task",$M37&lt;&gt;"",AV$7&lt;=IF($N37="",$D$4,$N37),AV$7+6&gt;=$M37),"●",""))</f>
        <v/>
      </c>
      <c r="AW37" s="25" t="str">
        <f aca="false">IF($C37="Milestone",IF(AND(AW$7&lt;=$I37,AW$7+6&gt;=$I37),"◆",""),IF(AND($C37="Task",$M37&lt;&gt;"",AW$7&lt;=IF($N37="",$D$4,$N37),AW$7+6&gt;=$M37),"●",""))</f>
        <v/>
      </c>
      <c r="AX37" s="25" t="str">
        <f aca="false">IF($C37="Milestone",IF(AND(AX$7&lt;=$I37,AX$7+6&gt;=$I37),"◆",""),IF(AND($C37="Task",$M37&lt;&gt;"",AX$7&lt;=IF($N37="",$D$4,$N37),AX$7+6&gt;=$M37),"●",""))</f>
        <v/>
      </c>
      <c r="AY37" s="25" t="str">
        <f aca="false">IF($C37="Milestone",IF(AND(AY$7&lt;=$I37,AY$7+6&gt;=$I37),"◆",""),IF(AND($C37="Task",$M37&lt;&gt;"",AY$7&lt;=IF($N37="",$D$4,$N37),AY$7+6&gt;=$M37),"●",""))</f>
        <v/>
      </c>
      <c r="AZ37" s="25" t="str">
        <f aca="false">IF($C37="Milestone",IF(AND(AZ$7&lt;=$I37,AZ$7+6&gt;=$I37),"◆",""),IF(AND($C37="Task",$M37&lt;&gt;"",AZ$7&lt;=IF($N37="",$D$4,$N37),AZ$7+6&gt;=$M37),"●",""))</f>
        <v/>
      </c>
    </row>
    <row r="38" customFormat="false" ht="18" hidden="false" customHeight="true" outlineLevel="0" collapsed="false">
      <c r="A38" s="18" t="s">
        <v>106</v>
      </c>
      <c r="B38" s="19" t="s">
        <v>107</v>
      </c>
      <c r="C38" s="18" t="s">
        <v>20</v>
      </c>
      <c r="D38" s="18" t="s">
        <v>101</v>
      </c>
      <c r="E38" s="18" t="s">
        <v>104</v>
      </c>
      <c r="F38" s="18" t="s">
        <v>44</v>
      </c>
      <c r="G38" s="20" t="n">
        <v>46349</v>
      </c>
      <c r="H38" s="20" t="n">
        <v>46353</v>
      </c>
      <c r="I38" s="21" t="n">
        <v>46335</v>
      </c>
      <c r="J38" s="21" t="n">
        <v>46339</v>
      </c>
      <c r="K38" s="18" t="n">
        <f aca="false">IF(C38="Task",ROUND((J38-I38+3)/7,0),"")</f>
        <v>1</v>
      </c>
      <c r="L38" s="18" t="n">
        <v>0</v>
      </c>
      <c r="M38" s="21"/>
      <c r="N38" s="21"/>
      <c r="O38" s="22"/>
      <c r="P38" s="18" t="str">
        <f aca="false">IF(C38="Break","",IF(C38="Milestone",IF(N38&lt;&gt;"","Done",IF($D$4&gt;J38,"Overdue","Upcoming")),IF(N(O38)&gt;=1,"Done",IF($D$4&lt;I38,"Not started",IF($D$4&gt;J38,"Late",IF(N(O38)+0.1&lt;($D$4-I38+1)/(J38-I38+1),"Behind","On track"))))))</f>
        <v>Not started</v>
      </c>
      <c r="Q38" s="23" t="n">
        <f aca="false">IF(C38="Break","",ROUND((IF(N38&lt;&gt;"",N38,J38)-H38)/7,1))</f>
        <v>-2</v>
      </c>
      <c r="R38" s="18" t="str">
        <f aca="false">IF(C38="Milestone",IF(N38&lt;&gt;"","✓",""),IF(AND(C38="Task",N(O38)&gt;=1),"✓",""))</f>
        <v/>
      </c>
      <c r="S38" s="18" t="n">
        <f aca="false">IF(C38="Task",K38*N(O38),"")</f>
        <v>0</v>
      </c>
      <c r="T38" s="24"/>
      <c r="U38" s="25" t="str">
        <f aca="false">IF($C38="Milestone",IF(AND(U$7&lt;=$I38,U$7+6&gt;=$I38),"◆",""),IF(AND($C38="Task",$M38&lt;&gt;"",U$7&lt;=IF($N38="",$D$4,$N38),U$7+6&gt;=$M38),"●",""))</f>
        <v/>
      </c>
      <c r="V38" s="25" t="str">
        <f aca="false">IF($C38="Milestone",IF(AND(V$7&lt;=$I38,V$7+6&gt;=$I38),"◆",""),IF(AND($C38="Task",$M38&lt;&gt;"",V$7&lt;=IF($N38="",$D$4,$N38),V$7+6&gt;=$M38),"●",""))</f>
        <v/>
      </c>
      <c r="W38" s="25" t="str">
        <f aca="false">IF($C38="Milestone",IF(AND(W$7&lt;=$I38,W$7+6&gt;=$I38),"◆",""),IF(AND($C38="Task",$M38&lt;&gt;"",W$7&lt;=IF($N38="",$D$4,$N38),W$7+6&gt;=$M38),"●",""))</f>
        <v/>
      </c>
      <c r="X38" s="25" t="str">
        <f aca="false">IF($C38="Milestone",IF(AND(X$7&lt;=$I38,X$7+6&gt;=$I38),"◆",""),IF(AND($C38="Task",$M38&lt;&gt;"",X$7&lt;=IF($N38="",$D$4,$N38),X$7+6&gt;=$M38),"●",""))</f>
        <v/>
      </c>
      <c r="Y38" s="25" t="str">
        <f aca="false">IF($C38="Milestone",IF(AND(Y$7&lt;=$I38,Y$7+6&gt;=$I38),"◆",""),IF(AND($C38="Task",$M38&lt;&gt;"",Y$7&lt;=IF($N38="",$D$4,$N38),Y$7+6&gt;=$M38),"●",""))</f>
        <v/>
      </c>
      <c r="Z38" s="25" t="str">
        <f aca="false">IF($C38="Milestone",IF(AND(Z$7&lt;=$I38,Z$7+6&gt;=$I38),"◆",""),IF(AND($C38="Task",$M38&lt;&gt;"",Z$7&lt;=IF($N38="",$D$4,$N38),Z$7+6&gt;=$M38),"●",""))</f>
        <v/>
      </c>
      <c r="AA38" s="25" t="str">
        <f aca="false">IF($C38="Milestone",IF(AND(AA$7&lt;=$I38,AA$7+6&gt;=$I38),"◆",""),IF(AND($C38="Task",$M38&lt;&gt;"",AA$7&lt;=IF($N38="",$D$4,$N38),AA$7+6&gt;=$M38),"●",""))</f>
        <v/>
      </c>
      <c r="AB38" s="25" t="str">
        <f aca="false">IF($C38="Milestone",IF(AND(AB$7&lt;=$I38,AB$7+6&gt;=$I38),"◆",""),IF(AND($C38="Task",$M38&lt;&gt;"",AB$7&lt;=IF($N38="",$D$4,$N38),AB$7+6&gt;=$M38),"●",""))</f>
        <v/>
      </c>
      <c r="AC38" s="25" t="str">
        <f aca="false">IF($C38="Milestone",IF(AND(AC$7&lt;=$I38,AC$7+6&gt;=$I38),"◆",""),IF(AND($C38="Task",$M38&lt;&gt;"",AC$7&lt;=IF($N38="",$D$4,$N38),AC$7+6&gt;=$M38),"●",""))</f>
        <v/>
      </c>
      <c r="AD38" s="25" t="str">
        <f aca="false">IF($C38="Milestone",IF(AND(AD$7&lt;=$I38,AD$7+6&gt;=$I38),"◆",""),IF(AND($C38="Task",$M38&lt;&gt;"",AD$7&lt;=IF($N38="",$D$4,$N38),AD$7+6&gt;=$M38),"●",""))</f>
        <v/>
      </c>
      <c r="AE38" s="25" t="str">
        <f aca="false">IF($C38="Milestone",IF(AND(AE$7&lt;=$I38,AE$7+6&gt;=$I38),"◆",""),IF(AND($C38="Task",$M38&lt;&gt;"",AE$7&lt;=IF($N38="",$D$4,$N38),AE$7+6&gt;=$M38),"●",""))</f>
        <v/>
      </c>
      <c r="AF38" s="25" t="str">
        <f aca="false">IF($C38="Milestone",IF(AND(AF$7&lt;=$I38,AF$7+6&gt;=$I38),"◆",""),IF(AND($C38="Task",$M38&lt;&gt;"",AF$7&lt;=IF($N38="",$D$4,$N38),AF$7+6&gt;=$M38),"●",""))</f>
        <v/>
      </c>
      <c r="AG38" s="25" t="str">
        <f aca="false">IF($C38="Milestone",IF(AND(AG$7&lt;=$I38,AG$7+6&gt;=$I38),"◆",""),IF(AND($C38="Task",$M38&lt;&gt;"",AG$7&lt;=IF($N38="",$D$4,$N38),AG$7+6&gt;=$M38),"●",""))</f>
        <v/>
      </c>
      <c r="AH38" s="25" t="str">
        <f aca="false">IF($C38="Milestone",IF(AND(AH$7&lt;=$I38,AH$7+6&gt;=$I38),"◆",""),IF(AND($C38="Task",$M38&lt;&gt;"",AH$7&lt;=IF($N38="",$D$4,$N38),AH$7+6&gt;=$M38),"●",""))</f>
        <v/>
      </c>
      <c r="AI38" s="25" t="str">
        <f aca="false">IF($C38="Milestone",IF(AND(AI$7&lt;=$I38,AI$7+6&gt;=$I38),"◆",""),IF(AND($C38="Task",$M38&lt;&gt;"",AI$7&lt;=IF($N38="",$D$4,$N38),AI$7+6&gt;=$M38),"●",""))</f>
        <v/>
      </c>
      <c r="AJ38" s="25" t="str">
        <f aca="false">IF($C38="Milestone",IF(AND(AJ$7&lt;=$I38,AJ$7+6&gt;=$I38),"◆",""),IF(AND($C38="Task",$M38&lt;&gt;"",AJ$7&lt;=IF($N38="",$D$4,$N38),AJ$7+6&gt;=$M38),"●",""))</f>
        <v/>
      </c>
      <c r="AK38" s="25" t="str">
        <f aca="false">IF($C38="Milestone",IF(AND(AK$7&lt;=$I38,AK$7+6&gt;=$I38),"◆",""),IF(AND($C38="Task",$M38&lt;&gt;"",AK$7&lt;=IF($N38="",$D$4,$N38),AK$7+6&gt;=$M38),"●",""))</f>
        <v/>
      </c>
      <c r="AL38" s="25" t="str">
        <f aca="false">IF($C38="Milestone",IF(AND(AL$7&lt;=$I38,AL$7+6&gt;=$I38),"◆",""),IF(AND($C38="Task",$M38&lt;&gt;"",AL$7&lt;=IF($N38="",$D$4,$N38),AL$7+6&gt;=$M38),"●",""))</f>
        <v/>
      </c>
      <c r="AM38" s="25" t="str">
        <f aca="false">IF($C38="Milestone",IF(AND(AM$7&lt;=$I38,AM$7+6&gt;=$I38),"◆",""),IF(AND($C38="Task",$M38&lt;&gt;"",AM$7&lt;=IF($N38="",$D$4,$N38),AM$7+6&gt;=$M38),"●",""))</f>
        <v/>
      </c>
      <c r="AN38" s="25" t="str">
        <f aca="false">IF($C38="Milestone",IF(AND(AN$7&lt;=$I38,AN$7+6&gt;=$I38),"◆",""),IF(AND($C38="Task",$M38&lt;&gt;"",AN$7&lt;=IF($N38="",$D$4,$N38),AN$7+6&gt;=$M38),"●",""))</f>
        <v/>
      </c>
      <c r="AO38" s="25" t="str">
        <f aca="false">IF($C38="Milestone",IF(AND(AO$7&lt;=$I38,AO$7+6&gt;=$I38),"◆",""),IF(AND($C38="Task",$M38&lt;&gt;"",AO$7&lt;=IF($N38="",$D$4,$N38),AO$7+6&gt;=$M38),"●",""))</f>
        <v/>
      </c>
      <c r="AP38" s="25" t="str">
        <f aca="false">IF($C38="Milestone",IF(AND(AP$7&lt;=$I38,AP$7+6&gt;=$I38),"◆",""),IF(AND($C38="Task",$M38&lt;&gt;"",AP$7&lt;=IF($N38="",$D$4,$N38),AP$7+6&gt;=$M38),"●",""))</f>
        <v/>
      </c>
      <c r="AQ38" s="25" t="str">
        <f aca="false">IF($C38="Milestone",IF(AND(AQ$7&lt;=$I38,AQ$7+6&gt;=$I38),"◆",""),IF(AND($C38="Task",$M38&lt;&gt;"",AQ$7&lt;=IF($N38="",$D$4,$N38),AQ$7+6&gt;=$M38),"●",""))</f>
        <v/>
      </c>
      <c r="AR38" s="25" t="str">
        <f aca="false">IF($C38="Milestone",IF(AND(AR$7&lt;=$I38,AR$7+6&gt;=$I38),"◆",""),IF(AND($C38="Task",$M38&lt;&gt;"",AR$7&lt;=IF($N38="",$D$4,$N38),AR$7+6&gt;=$M38),"●",""))</f>
        <v/>
      </c>
      <c r="AS38" s="25" t="str">
        <f aca="false">IF($C38="Milestone",IF(AND(AS$7&lt;=$I38,AS$7+6&gt;=$I38),"◆",""),IF(AND($C38="Task",$M38&lt;&gt;"",AS$7&lt;=IF($N38="",$D$4,$N38),AS$7+6&gt;=$M38),"●",""))</f>
        <v/>
      </c>
      <c r="AT38" s="25" t="str">
        <f aca="false">IF($C38="Milestone",IF(AND(AT$7&lt;=$I38,AT$7+6&gt;=$I38),"◆",""),IF(AND($C38="Task",$M38&lt;&gt;"",AT$7&lt;=IF($N38="",$D$4,$N38),AT$7+6&gt;=$M38),"●",""))</f>
        <v/>
      </c>
      <c r="AU38" s="25" t="str">
        <f aca="false">IF($C38="Milestone",IF(AND(AU$7&lt;=$I38,AU$7+6&gt;=$I38),"◆",""),IF(AND($C38="Task",$M38&lt;&gt;"",AU$7&lt;=IF($N38="",$D$4,$N38),AU$7+6&gt;=$M38),"●",""))</f>
        <v/>
      </c>
      <c r="AV38" s="25" t="str">
        <f aca="false">IF($C38="Milestone",IF(AND(AV$7&lt;=$I38,AV$7+6&gt;=$I38),"◆",""),IF(AND($C38="Task",$M38&lt;&gt;"",AV$7&lt;=IF($N38="",$D$4,$N38),AV$7+6&gt;=$M38),"●",""))</f>
        <v/>
      </c>
      <c r="AW38" s="25" t="str">
        <f aca="false">IF($C38="Milestone",IF(AND(AW$7&lt;=$I38,AW$7+6&gt;=$I38),"◆",""),IF(AND($C38="Task",$M38&lt;&gt;"",AW$7&lt;=IF($N38="",$D$4,$N38),AW$7+6&gt;=$M38),"●",""))</f>
        <v/>
      </c>
      <c r="AX38" s="25" t="str">
        <f aca="false">IF($C38="Milestone",IF(AND(AX$7&lt;=$I38,AX$7+6&gt;=$I38),"◆",""),IF(AND($C38="Task",$M38&lt;&gt;"",AX$7&lt;=IF($N38="",$D$4,$N38),AX$7+6&gt;=$M38),"●",""))</f>
        <v/>
      </c>
      <c r="AY38" s="25" t="str">
        <f aca="false">IF($C38="Milestone",IF(AND(AY$7&lt;=$I38,AY$7+6&gt;=$I38),"◆",""),IF(AND($C38="Task",$M38&lt;&gt;"",AY$7&lt;=IF($N38="",$D$4,$N38),AY$7+6&gt;=$M38),"●",""))</f>
        <v/>
      </c>
      <c r="AZ38" s="25" t="str">
        <f aca="false">IF($C38="Milestone",IF(AND(AZ$7&lt;=$I38,AZ$7+6&gt;=$I38),"◆",""),IF(AND($C38="Task",$M38&lt;&gt;"",AZ$7&lt;=IF($N38="",$D$4,$N38),AZ$7+6&gt;=$M38),"●",""))</f>
        <v/>
      </c>
    </row>
    <row r="39" customFormat="false" ht="18" hidden="false" customHeight="true" outlineLevel="0" collapsed="false">
      <c r="A39" s="18" t="s">
        <v>108</v>
      </c>
      <c r="B39" s="19" t="s">
        <v>109</v>
      </c>
      <c r="C39" s="18" t="s">
        <v>43</v>
      </c>
      <c r="D39" s="18" t="s">
        <v>101</v>
      </c>
      <c r="E39" s="18" t="s">
        <v>106</v>
      </c>
      <c r="F39" s="18" t="s">
        <v>44</v>
      </c>
      <c r="G39" s="20" t="n">
        <v>46353</v>
      </c>
      <c r="H39" s="20" t="n">
        <v>46353</v>
      </c>
      <c r="I39" s="21" t="n">
        <v>46339</v>
      </c>
      <c r="J39" s="21" t="n">
        <v>46339</v>
      </c>
      <c r="K39" s="18" t="str">
        <f aca="false">IF(C39="Task",ROUND((J39-I39+3)/7,0),"")</f>
        <v/>
      </c>
      <c r="L39" s="18"/>
      <c r="M39" s="21"/>
      <c r="N39" s="21"/>
      <c r="O39" s="22"/>
      <c r="P39" s="18" t="str">
        <f aca="false">IF(C39="Break","",IF(C39="Milestone",IF(N39&lt;&gt;"","Done",IF($D$4&gt;J39,"Overdue","Upcoming")),IF(N(O39)&gt;=1,"Done",IF($D$4&lt;I39,"Not started",IF($D$4&gt;J39,"Late",IF(N(O39)+0.1&lt;($D$4-I39+1)/(J39-I39+1),"Behind","On track"))))))</f>
        <v>Upcoming</v>
      </c>
      <c r="Q39" s="23" t="n">
        <f aca="false">IF(C39="Break","",ROUND((IF(N39&lt;&gt;"",N39,J39)-H39)/7,1))</f>
        <v>-2</v>
      </c>
      <c r="R39" s="18" t="str">
        <f aca="false">IF(C39="Milestone",IF(N39&lt;&gt;"","✓",""),IF(AND(C39="Task",N(O39)&gt;=1),"✓",""))</f>
        <v/>
      </c>
      <c r="S39" s="18" t="str">
        <f aca="false">IF(C39="Task",K39*N(O39),"")</f>
        <v/>
      </c>
      <c r="T39" s="24"/>
      <c r="U39" s="25" t="str">
        <f aca="false">IF($C39="Milestone",IF(AND(U$7&lt;=$I39,U$7+6&gt;=$I39),"◆",""),IF(AND($C39="Task",$M39&lt;&gt;"",U$7&lt;=IF($N39="",$D$4,$N39),U$7+6&gt;=$M39),"●",""))</f>
        <v/>
      </c>
      <c r="V39" s="25" t="str">
        <f aca="false">IF($C39="Milestone",IF(AND(V$7&lt;=$I39,V$7+6&gt;=$I39),"◆",""),IF(AND($C39="Task",$M39&lt;&gt;"",V$7&lt;=IF($N39="",$D$4,$N39),V$7+6&gt;=$M39),"●",""))</f>
        <v/>
      </c>
      <c r="W39" s="25" t="str">
        <f aca="false">IF($C39="Milestone",IF(AND(W$7&lt;=$I39,W$7+6&gt;=$I39),"◆",""),IF(AND($C39="Task",$M39&lt;&gt;"",W$7&lt;=IF($N39="",$D$4,$N39),W$7+6&gt;=$M39),"●",""))</f>
        <v/>
      </c>
      <c r="X39" s="25" t="str">
        <f aca="false">IF($C39="Milestone",IF(AND(X$7&lt;=$I39,X$7+6&gt;=$I39),"◆",""),IF(AND($C39="Task",$M39&lt;&gt;"",X$7&lt;=IF($N39="",$D$4,$N39),X$7+6&gt;=$M39),"●",""))</f>
        <v>◆</v>
      </c>
      <c r="Y39" s="25" t="str">
        <f aca="false">IF($C39="Milestone",IF(AND(Y$7&lt;=$I39,Y$7+6&gt;=$I39),"◆",""),IF(AND($C39="Task",$M39&lt;&gt;"",Y$7&lt;=IF($N39="",$D$4,$N39),Y$7+6&gt;=$M39),"●",""))</f>
        <v/>
      </c>
      <c r="Z39" s="25" t="str">
        <f aca="false">IF($C39="Milestone",IF(AND(Z$7&lt;=$I39,Z$7+6&gt;=$I39),"◆",""),IF(AND($C39="Task",$M39&lt;&gt;"",Z$7&lt;=IF($N39="",$D$4,$N39),Z$7+6&gt;=$M39),"●",""))</f>
        <v/>
      </c>
      <c r="AA39" s="25" t="str">
        <f aca="false">IF($C39="Milestone",IF(AND(AA$7&lt;=$I39,AA$7+6&gt;=$I39),"◆",""),IF(AND($C39="Task",$M39&lt;&gt;"",AA$7&lt;=IF($N39="",$D$4,$N39),AA$7+6&gt;=$M39),"●",""))</f>
        <v/>
      </c>
      <c r="AB39" s="25" t="str">
        <f aca="false">IF($C39="Milestone",IF(AND(AB$7&lt;=$I39,AB$7+6&gt;=$I39),"◆",""),IF(AND($C39="Task",$M39&lt;&gt;"",AB$7&lt;=IF($N39="",$D$4,$N39),AB$7+6&gt;=$M39),"●",""))</f>
        <v/>
      </c>
      <c r="AC39" s="25" t="str">
        <f aca="false">IF($C39="Milestone",IF(AND(AC$7&lt;=$I39,AC$7+6&gt;=$I39),"◆",""),IF(AND($C39="Task",$M39&lt;&gt;"",AC$7&lt;=IF($N39="",$D$4,$N39),AC$7+6&gt;=$M39),"●",""))</f>
        <v/>
      </c>
      <c r="AD39" s="25" t="str">
        <f aca="false">IF($C39="Milestone",IF(AND(AD$7&lt;=$I39,AD$7+6&gt;=$I39),"◆",""),IF(AND($C39="Task",$M39&lt;&gt;"",AD$7&lt;=IF($N39="",$D$4,$N39),AD$7+6&gt;=$M39),"●",""))</f>
        <v/>
      </c>
      <c r="AE39" s="25" t="str">
        <f aca="false">IF($C39="Milestone",IF(AND(AE$7&lt;=$I39,AE$7+6&gt;=$I39),"◆",""),IF(AND($C39="Task",$M39&lt;&gt;"",AE$7&lt;=IF($N39="",$D$4,$N39),AE$7+6&gt;=$M39),"●",""))</f>
        <v/>
      </c>
      <c r="AF39" s="25" t="str">
        <f aca="false">IF($C39="Milestone",IF(AND(AF$7&lt;=$I39,AF$7+6&gt;=$I39),"◆",""),IF(AND($C39="Task",$M39&lt;&gt;"",AF$7&lt;=IF($N39="",$D$4,$N39),AF$7+6&gt;=$M39),"●",""))</f>
        <v/>
      </c>
      <c r="AG39" s="25" t="str">
        <f aca="false">IF($C39="Milestone",IF(AND(AG$7&lt;=$I39,AG$7+6&gt;=$I39),"◆",""),IF(AND($C39="Task",$M39&lt;&gt;"",AG$7&lt;=IF($N39="",$D$4,$N39),AG$7+6&gt;=$M39),"●",""))</f>
        <v/>
      </c>
      <c r="AH39" s="25" t="str">
        <f aca="false">IF($C39="Milestone",IF(AND(AH$7&lt;=$I39,AH$7+6&gt;=$I39),"◆",""),IF(AND($C39="Task",$M39&lt;&gt;"",AH$7&lt;=IF($N39="",$D$4,$N39),AH$7+6&gt;=$M39),"●",""))</f>
        <v/>
      </c>
      <c r="AI39" s="25" t="str">
        <f aca="false">IF($C39="Milestone",IF(AND(AI$7&lt;=$I39,AI$7+6&gt;=$I39),"◆",""),IF(AND($C39="Task",$M39&lt;&gt;"",AI$7&lt;=IF($N39="",$D$4,$N39),AI$7+6&gt;=$M39),"●",""))</f>
        <v/>
      </c>
      <c r="AJ39" s="25" t="str">
        <f aca="false">IF($C39="Milestone",IF(AND(AJ$7&lt;=$I39,AJ$7+6&gt;=$I39),"◆",""),IF(AND($C39="Task",$M39&lt;&gt;"",AJ$7&lt;=IF($N39="",$D$4,$N39),AJ$7+6&gt;=$M39),"●",""))</f>
        <v/>
      </c>
      <c r="AK39" s="25" t="str">
        <f aca="false">IF($C39="Milestone",IF(AND(AK$7&lt;=$I39,AK$7+6&gt;=$I39),"◆",""),IF(AND($C39="Task",$M39&lt;&gt;"",AK$7&lt;=IF($N39="",$D$4,$N39),AK$7+6&gt;=$M39),"●",""))</f>
        <v/>
      </c>
      <c r="AL39" s="25" t="str">
        <f aca="false">IF($C39="Milestone",IF(AND(AL$7&lt;=$I39,AL$7+6&gt;=$I39),"◆",""),IF(AND($C39="Task",$M39&lt;&gt;"",AL$7&lt;=IF($N39="",$D$4,$N39),AL$7+6&gt;=$M39),"●",""))</f>
        <v/>
      </c>
      <c r="AM39" s="25" t="str">
        <f aca="false">IF($C39="Milestone",IF(AND(AM$7&lt;=$I39,AM$7+6&gt;=$I39),"◆",""),IF(AND($C39="Task",$M39&lt;&gt;"",AM$7&lt;=IF($N39="",$D$4,$N39),AM$7+6&gt;=$M39),"●",""))</f>
        <v/>
      </c>
      <c r="AN39" s="25" t="str">
        <f aca="false">IF($C39="Milestone",IF(AND(AN$7&lt;=$I39,AN$7+6&gt;=$I39),"◆",""),IF(AND($C39="Task",$M39&lt;&gt;"",AN$7&lt;=IF($N39="",$D$4,$N39),AN$7+6&gt;=$M39),"●",""))</f>
        <v/>
      </c>
      <c r="AO39" s="25" t="str">
        <f aca="false">IF($C39="Milestone",IF(AND(AO$7&lt;=$I39,AO$7+6&gt;=$I39),"◆",""),IF(AND($C39="Task",$M39&lt;&gt;"",AO$7&lt;=IF($N39="",$D$4,$N39),AO$7+6&gt;=$M39),"●",""))</f>
        <v/>
      </c>
      <c r="AP39" s="25" t="str">
        <f aca="false">IF($C39="Milestone",IF(AND(AP$7&lt;=$I39,AP$7+6&gt;=$I39),"◆",""),IF(AND($C39="Task",$M39&lt;&gt;"",AP$7&lt;=IF($N39="",$D$4,$N39),AP$7+6&gt;=$M39),"●",""))</f>
        <v/>
      </c>
      <c r="AQ39" s="25" t="str">
        <f aca="false">IF($C39="Milestone",IF(AND(AQ$7&lt;=$I39,AQ$7+6&gt;=$I39),"◆",""),IF(AND($C39="Task",$M39&lt;&gt;"",AQ$7&lt;=IF($N39="",$D$4,$N39),AQ$7+6&gt;=$M39),"●",""))</f>
        <v/>
      </c>
      <c r="AR39" s="25" t="str">
        <f aca="false">IF($C39="Milestone",IF(AND(AR$7&lt;=$I39,AR$7+6&gt;=$I39),"◆",""),IF(AND($C39="Task",$M39&lt;&gt;"",AR$7&lt;=IF($N39="",$D$4,$N39),AR$7+6&gt;=$M39),"●",""))</f>
        <v/>
      </c>
      <c r="AS39" s="25" t="str">
        <f aca="false">IF($C39="Milestone",IF(AND(AS$7&lt;=$I39,AS$7+6&gt;=$I39),"◆",""),IF(AND($C39="Task",$M39&lt;&gt;"",AS$7&lt;=IF($N39="",$D$4,$N39),AS$7+6&gt;=$M39),"●",""))</f>
        <v/>
      </c>
      <c r="AT39" s="25" t="str">
        <f aca="false">IF($C39="Milestone",IF(AND(AT$7&lt;=$I39,AT$7+6&gt;=$I39),"◆",""),IF(AND($C39="Task",$M39&lt;&gt;"",AT$7&lt;=IF($N39="",$D$4,$N39),AT$7+6&gt;=$M39),"●",""))</f>
        <v/>
      </c>
      <c r="AU39" s="25" t="str">
        <f aca="false">IF($C39="Milestone",IF(AND(AU$7&lt;=$I39,AU$7+6&gt;=$I39),"◆",""),IF(AND($C39="Task",$M39&lt;&gt;"",AU$7&lt;=IF($N39="",$D$4,$N39),AU$7+6&gt;=$M39),"●",""))</f>
        <v/>
      </c>
      <c r="AV39" s="25" t="str">
        <f aca="false">IF($C39="Milestone",IF(AND(AV$7&lt;=$I39,AV$7+6&gt;=$I39),"◆",""),IF(AND($C39="Task",$M39&lt;&gt;"",AV$7&lt;=IF($N39="",$D$4,$N39),AV$7+6&gt;=$M39),"●",""))</f>
        <v/>
      </c>
      <c r="AW39" s="25" t="str">
        <f aca="false">IF($C39="Milestone",IF(AND(AW$7&lt;=$I39,AW$7+6&gt;=$I39),"◆",""),IF(AND($C39="Task",$M39&lt;&gt;"",AW$7&lt;=IF($N39="",$D$4,$N39),AW$7+6&gt;=$M39),"●",""))</f>
        <v/>
      </c>
      <c r="AX39" s="25" t="str">
        <f aca="false">IF($C39="Milestone",IF(AND(AX$7&lt;=$I39,AX$7+6&gt;=$I39),"◆",""),IF(AND($C39="Task",$M39&lt;&gt;"",AX$7&lt;=IF($N39="",$D$4,$N39),AX$7+6&gt;=$M39),"●",""))</f>
        <v/>
      </c>
      <c r="AY39" s="25" t="str">
        <f aca="false">IF($C39="Milestone",IF(AND(AY$7&lt;=$I39,AY$7+6&gt;=$I39),"◆",""),IF(AND($C39="Task",$M39&lt;&gt;"",AY$7&lt;=IF($N39="",$D$4,$N39),AY$7+6&gt;=$M39),"●",""))</f>
        <v/>
      </c>
      <c r="AZ39" s="25" t="str">
        <f aca="false">IF($C39="Milestone",IF(AND(AZ$7&lt;=$I39,AZ$7+6&gt;=$I39),"◆",""),IF(AND($C39="Task",$M39&lt;&gt;"",AZ$7&lt;=IF($N39="",$D$4,$N39),AZ$7+6&gt;=$M39),"●",""))</f>
        <v/>
      </c>
    </row>
    <row r="40" customFormat="false" ht="18" hidden="false" customHeight="true" outlineLevel="0" collapsed="false">
      <c r="A40" s="18" t="s">
        <v>110</v>
      </c>
      <c r="B40" s="19" t="s">
        <v>111</v>
      </c>
      <c r="C40" s="18" t="s">
        <v>20</v>
      </c>
      <c r="D40" s="18" t="s">
        <v>112</v>
      </c>
      <c r="E40" s="18" t="s">
        <v>95</v>
      </c>
      <c r="F40" s="18" t="s">
        <v>50</v>
      </c>
      <c r="G40" s="20" t="n">
        <v>46342</v>
      </c>
      <c r="H40" s="20" t="n">
        <v>46346</v>
      </c>
      <c r="I40" s="21" t="n">
        <v>46328</v>
      </c>
      <c r="J40" s="21" t="n">
        <v>46339</v>
      </c>
      <c r="K40" s="18" t="n">
        <f aca="false">IF(C40="Task",ROUND((J40-I40+3)/7,0),"")</f>
        <v>2</v>
      </c>
      <c r="L40" s="18" t="n">
        <v>1</v>
      </c>
      <c r="M40" s="21"/>
      <c r="N40" s="21"/>
      <c r="O40" s="22"/>
      <c r="P40" s="18" t="str">
        <f aca="false">IF(C40="Break","",IF(C40="Milestone",IF(N40&lt;&gt;"","Done",IF($D$4&gt;J40,"Overdue","Upcoming")),IF(N(O40)&gt;=1,"Done",IF($D$4&lt;I40,"Not started",IF($D$4&gt;J40,"Late",IF(N(O40)+0.1&lt;($D$4-I40+1)/(J40-I40+1),"Behind","On track"))))))</f>
        <v>Not started</v>
      </c>
      <c r="Q40" s="23" t="n">
        <f aca="false">IF(C40="Break","",ROUND((IF(N40&lt;&gt;"",N40,J40)-H40)/7,1))</f>
        <v>-1</v>
      </c>
      <c r="R40" s="18" t="str">
        <f aca="false">IF(C40="Milestone",IF(N40&lt;&gt;"","✓",""),IF(AND(C40="Task",N(O40)&gt;=1),"✓",""))</f>
        <v/>
      </c>
      <c r="S40" s="18" t="n">
        <f aca="false">IF(C40="Task",K40*N(O40),"")</f>
        <v>0</v>
      </c>
      <c r="T40" s="24"/>
      <c r="U40" s="25" t="str">
        <f aca="false">IF($C40="Milestone",IF(AND(U$7&lt;=$I40,U$7+6&gt;=$I40),"◆",""),IF(AND($C40="Task",$M40&lt;&gt;"",U$7&lt;=IF($N40="",$D$4,$N40),U$7+6&gt;=$M40),"●",""))</f>
        <v/>
      </c>
      <c r="V40" s="25" t="str">
        <f aca="false">IF($C40="Milestone",IF(AND(V$7&lt;=$I40,V$7+6&gt;=$I40),"◆",""),IF(AND($C40="Task",$M40&lt;&gt;"",V$7&lt;=IF($N40="",$D$4,$N40),V$7+6&gt;=$M40),"●",""))</f>
        <v/>
      </c>
      <c r="W40" s="25" t="str">
        <f aca="false">IF($C40="Milestone",IF(AND(W$7&lt;=$I40,W$7+6&gt;=$I40),"◆",""),IF(AND($C40="Task",$M40&lt;&gt;"",W$7&lt;=IF($N40="",$D$4,$N40),W$7+6&gt;=$M40),"●",""))</f>
        <v/>
      </c>
      <c r="X40" s="25" t="str">
        <f aca="false">IF($C40="Milestone",IF(AND(X$7&lt;=$I40,X$7+6&gt;=$I40),"◆",""),IF(AND($C40="Task",$M40&lt;&gt;"",X$7&lt;=IF($N40="",$D$4,$N40),X$7+6&gt;=$M40),"●",""))</f>
        <v/>
      </c>
      <c r="Y40" s="25" t="str">
        <f aca="false">IF($C40="Milestone",IF(AND(Y$7&lt;=$I40,Y$7+6&gt;=$I40),"◆",""),IF(AND($C40="Task",$M40&lt;&gt;"",Y$7&lt;=IF($N40="",$D$4,$N40),Y$7+6&gt;=$M40),"●",""))</f>
        <v/>
      </c>
      <c r="Z40" s="25" t="str">
        <f aca="false">IF($C40="Milestone",IF(AND(Z$7&lt;=$I40,Z$7+6&gt;=$I40),"◆",""),IF(AND($C40="Task",$M40&lt;&gt;"",Z$7&lt;=IF($N40="",$D$4,$N40),Z$7+6&gt;=$M40),"●",""))</f>
        <v/>
      </c>
      <c r="AA40" s="25" t="str">
        <f aca="false">IF($C40="Milestone",IF(AND(AA$7&lt;=$I40,AA$7+6&gt;=$I40),"◆",""),IF(AND($C40="Task",$M40&lt;&gt;"",AA$7&lt;=IF($N40="",$D$4,$N40),AA$7+6&gt;=$M40),"●",""))</f>
        <v/>
      </c>
      <c r="AB40" s="25" t="str">
        <f aca="false">IF($C40="Milestone",IF(AND(AB$7&lt;=$I40,AB$7+6&gt;=$I40),"◆",""),IF(AND($C40="Task",$M40&lt;&gt;"",AB$7&lt;=IF($N40="",$D$4,$N40),AB$7+6&gt;=$M40),"●",""))</f>
        <v/>
      </c>
      <c r="AC40" s="25" t="str">
        <f aca="false">IF($C40="Milestone",IF(AND(AC$7&lt;=$I40,AC$7+6&gt;=$I40),"◆",""),IF(AND($C40="Task",$M40&lt;&gt;"",AC$7&lt;=IF($N40="",$D$4,$N40),AC$7+6&gt;=$M40),"●",""))</f>
        <v/>
      </c>
      <c r="AD40" s="25" t="str">
        <f aca="false">IF($C40="Milestone",IF(AND(AD$7&lt;=$I40,AD$7+6&gt;=$I40),"◆",""),IF(AND($C40="Task",$M40&lt;&gt;"",AD$7&lt;=IF($N40="",$D$4,$N40),AD$7+6&gt;=$M40),"●",""))</f>
        <v/>
      </c>
      <c r="AE40" s="25" t="str">
        <f aca="false">IF($C40="Milestone",IF(AND(AE$7&lt;=$I40,AE$7+6&gt;=$I40),"◆",""),IF(AND($C40="Task",$M40&lt;&gt;"",AE$7&lt;=IF($N40="",$D$4,$N40),AE$7+6&gt;=$M40),"●",""))</f>
        <v/>
      </c>
      <c r="AF40" s="25" t="str">
        <f aca="false">IF($C40="Milestone",IF(AND(AF$7&lt;=$I40,AF$7+6&gt;=$I40),"◆",""),IF(AND($C40="Task",$M40&lt;&gt;"",AF$7&lt;=IF($N40="",$D$4,$N40),AF$7+6&gt;=$M40),"●",""))</f>
        <v/>
      </c>
      <c r="AG40" s="25" t="str">
        <f aca="false">IF($C40="Milestone",IF(AND(AG$7&lt;=$I40,AG$7+6&gt;=$I40),"◆",""),IF(AND($C40="Task",$M40&lt;&gt;"",AG$7&lt;=IF($N40="",$D$4,$N40),AG$7+6&gt;=$M40),"●",""))</f>
        <v/>
      </c>
      <c r="AH40" s="25" t="str">
        <f aca="false">IF($C40="Milestone",IF(AND(AH$7&lt;=$I40,AH$7+6&gt;=$I40),"◆",""),IF(AND($C40="Task",$M40&lt;&gt;"",AH$7&lt;=IF($N40="",$D$4,$N40),AH$7+6&gt;=$M40),"●",""))</f>
        <v/>
      </c>
      <c r="AI40" s="25" t="str">
        <f aca="false">IF($C40="Milestone",IF(AND(AI$7&lt;=$I40,AI$7+6&gt;=$I40),"◆",""),IF(AND($C40="Task",$M40&lt;&gt;"",AI$7&lt;=IF($N40="",$D$4,$N40),AI$7+6&gt;=$M40),"●",""))</f>
        <v/>
      </c>
      <c r="AJ40" s="25" t="str">
        <f aca="false">IF($C40="Milestone",IF(AND(AJ$7&lt;=$I40,AJ$7+6&gt;=$I40),"◆",""),IF(AND($C40="Task",$M40&lt;&gt;"",AJ$7&lt;=IF($N40="",$D$4,$N40),AJ$7+6&gt;=$M40),"●",""))</f>
        <v/>
      </c>
      <c r="AK40" s="25" t="str">
        <f aca="false">IF($C40="Milestone",IF(AND(AK$7&lt;=$I40,AK$7+6&gt;=$I40),"◆",""),IF(AND($C40="Task",$M40&lt;&gt;"",AK$7&lt;=IF($N40="",$D$4,$N40),AK$7+6&gt;=$M40),"●",""))</f>
        <v/>
      </c>
      <c r="AL40" s="25" t="str">
        <f aca="false">IF($C40="Milestone",IF(AND(AL$7&lt;=$I40,AL$7+6&gt;=$I40),"◆",""),IF(AND($C40="Task",$M40&lt;&gt;"",AL$7&lt;=IF($N40="",$D$4,$N40),AL$7+6&gt;=$M40),"●",""))</f>
        <v/>
      </c>
      <c r="AM40" s="25" t="str">
        <f aca="false">IF($C40="Milestone",IF(AND(AM$7&lt;=$I40,AM$7+6&gt;=$I40),"◆",""),IF(AND($C40="Task",$M40&lt;&gt;"",AM$7&lt;=IF($N40="",$D$4,$N40),AM$7+6&gt;=$M40),"●",""))</f>
        <v/>
      </c>
      <c r="AN40" s="25" t="str">
        <f aca="false">IF($C40="Milestone",IF(AND(AN$7&lt;=$I40,AN$7+6&gt;=$I40),"◆",""),IF(AND($C40="Task",$M40&lt;&gt;"",AN$7&lt;=IF($N40="",$D$4,$N40),AN$7+6&gt;=$M40),"●",""))</f>
        <v/>
      </c>
      <c r="AO40" s="25" t="str">
        <f aca="false">IF($C40="Milestone",IF(AND(AO$7&lt;=$I40,AO$7+6&gt;=$I40),"◆",""),IF(AND($C40="Task",$M40&lt;&gt;"",AO$7&lt;=IF($N40="",$D$4,$N40),AO$7+6&gt;=$M40),"●",""))</f>
        <v/>
      </c>
      <c r="AP40" s="25" t="str">
        <f aca="false">IF($C40="Milestone",IF(AND(AP$7&lt;=$I40,AP$7+6&gt;=$I40),"◆",""),IF(AND($C40="Task",$M40&lt;&gt;"",AP$7&lt;=IF($N40="",$D$4,$N40),AP$7+6&gt;=$M40),"●",""))</f>
        <v/>
      </c>
      <c r="AQ40" s="25" t="str">
        <f aca="false">IF($C40="Milestone",IF(AND(AQ$7&lt;=$I40,AQ$7+6&gt;=$I40),"◆",""),IF(AND($C40="Task",$M40&lt;&gt;"",AQ$7&lt;=IF($N40="",$D$4,$N40),AQ$7+6&gt;=$M40),"●",""))</f>
        <v/>
      </c>
      <c r="AR40" s="25" t="str">
        <f aca="false">IF($C40="Milestone",IF(AND(AR$7&lt;=$I40,AR$7+6&gt;=$I40),"◆",""),IF(AND($C40="Task",$M40&lt;&gt;"",AR$7&lt;=IF($N40="",$D$4,$N40),AR$7+6&gt;=$M40),"●",""))</f>
        <v/>
      </c>
      <c r="AS40" s="25" t="str">
        <f aca="false">IF($C40="Milestone",IF(AND(AS$7&lt;=$I40,AS$7+6&gt;=$I40),"◆",""),IF(AND($C40="Task",$M40&lt;&gt;"",AS$7&lt;=IF($N40="",$D$4,$N40),AS$7+6&gt;=$M40),"●",""))</f>
        <v/>
      </c>
      <c r="AT40" s="25" t="str">
        <f aca="false">IF($C40="Milestone",IF(AND(AT$7&lt;=$I40,AT$7+6&gt;=$I40),"◆",""),IF(AND($C40="Task",$M40&lt;&gt;"",AT$7&lt;=IF($N40="",$D$4,$N40),AT$7+6&gt;=$M40),"●",""))</f>
        <v/>
      </c>
      <c r="AU40" s="25" t="str">
        <f aca="false">IF($C40="Milestone",IF(AND(AU$7&lt;=$I40,AU$7+6&gt;=$I40),"◆",""),IF(AND($C40="Task",$M40&lt;&gt;"",AU$7&lt;=IF($N40="",$D$4,$N40),AU$7+6&gt;=$M40),"●",""))</f>
        <v/>
      </c>
      <c r="AV40" s="25" t="str">
        <f aca="false">IF($C40="Milestone",IF(AND(AV$7&lt;=$I40,AV$7+6&gt;=$I40),"◆",""),IF(AND($C40="Task",$M40&lt;&gt;"",AV$7&lt;=IF($N40="",$D$4,$N40),AV$7+6&gt;=$M40),"●",""))</f>
        <v/>
      </c>
      <c r="AW40" s="25" t="str">
        <f aca="false">IF($C40="Milestone",IF(AND(AW$7&lt;=$I40,AW$7+6&gt;=$I40),"◆",""),IF(AND($C40="Task",$M40&lt;&gt;"",AW$7&lt;=IF($N40="",$D$4,$N40),AW$7+6&gt;=$M40),"●",""))</f>
        <v/>
      </c>
      <c r="AX40" s="25" t="str">
        <f aca="false">IF($C40="Milestone",IF(AND(AX$7&lt;=$I40,AX$7+6&gt;=$I40),"◆",""),IF(AND($C40="Task",$M40&lt;&gt;"",AX$7&lt;=IF($N40="",$D$4,$N40),AX$7+6&gt;=$M40),"●",""))</f>
        <v/>
      </c>
      <c r="AY40" s="25" t="str">
        <f aca="false">IF($C40="Milestone",IF(AND(AY$7&lt;=$I40,AY$7+6&gt;=$I40),"◆",""),IF(AND($C40="Task",$M40&lt;&gt;"",AY$7&lt;=IF($N40="",$D$4,$N40),AY$7+6&gt;=$M40),"●",""))</f>
        <v/>
      </c>
      <c r="AZ40" s="25" t="str">
        <f aca="false">IF($C40="Milestone",IF(AND(AZ$7&lt;=$I40,AZ$7+6&gt;=$I40),"◆",""),IF(AND($C40="Task",$M40&lt;&gt;"",AZ$7&lt;=IF($N40="",$D$4,$N40),AZ$7+6&gt;=$M40),"●",""))</f>
        <v/>
      </c>
    </row>
    <row r="41" customFormat="false" ht="18" hidden="false" customHeight="true" outlineLevel="0" collapsed="false">
      <c r="A41" s="18" t="s">
        <v>113</v>
      </c>
      <c r="B41" s="19" t="s">
        <v>114</v>
      </c>
      <c r="C41" s="18" t="s">
        <v>20</v>
      </c>
      <c r="D41" s="18" t="s">
        <v>112</v>
      </c>
      <c r="E41" s="18" t="s">
        <v>110</v>
      </c>
      <c r="F41" s="18" t="s">
        <v>50</v>
      </c>
      <c r="G41" s="20" t="n">
        <v>46349</v>
      </c>
      <c r="H41" s="20" t="n">
        <v>46353</v>
      </c>
      <c r="I41" s="21" t="n">
        <v>46335</v>
      </c>
      <c r="J41" s="21" t="n">
        <v>46339</v>
      </c>
      <c r="K41" s="18" t="n">
        <f aca="false">IF(C41="Task",ROUND((J41-I41+3)/7,0),"")</f>
        <v>1</v>
      </c>
      <c r="L41" s="18" t="n">
        <v>1</v>
      </c>
      <c r="M41" s="21"/>
      <c r="N41" s="21"/>
      <c r="O41" s="22"/>
      <c r="P41" s="18" t="str">
        <f aca="false">IF(C41="Break","",IF(C41="Milestone",IF(N41&lt;&gt;"","Done",IF($D$4&gt;J41,"Overdue","Upcoming")),IF(N(O41)&gt;=1,"Done",IF($D$4&lt;I41,"Not started",IF($D$4&gt;J41,"Late",IF(N(O41)+0.1&lt;($D$4-I41+1)/(J41-I41+1),"Behind","On track"))))))</f>
        <v>Not started</v>
      </c>
      <c r="Q41" s="23" t="n">
        <f aca="false">IF(C41="Break","",ROUND((IF(N41&lt;&gt;"",N41,J41)-H41)/7,1))</f>
        <v>-2</v>
      </c>
      <c r="R41" s="18" t="str">
        <f aca="false">IF(C41="Milestone",IF(N41&lt;&gt;"","✓",""),IF(AND(C41="Task",N(O41)&gt;=1),"✓",""))</f>
        <v/>
      </c>
      <c r="S41" s="18" t="n">
        <f aca="false">IF(C41="Task",K41*N(O41),"")</f>
        <v>0</v>
      </c>
      <c r="T41" s="24"/>
      <c r="U41" s="25" t="str">
        <f aca="false">IF($C41="Milestone",IF(AND(U$7&lt;=$I41,U$7+6&gt;=$I41),"◆",""),IF(AND($C41="Task",$M41&lt;&gt;"",U$7&lt;=IF($N41="",$D$4,$N41),U$7+6&gt;=$M41),"●",""))</f>
        <v/>
      </c>
      <c r="V41" s="25" t="str">
        <f aca="false">IF($C41="Milestone",IF(AND(V$7&lt;=$I41,V$7+6&gt;=$I41),"◆",""),IF(AND($C41="Task",$M41&lt;&gt;"",V$7&lt;=IF($N41="",$D$4,$N41),V$7+6&gt;=$M41),"●",""))</f>
        <v/>
      </c>
      <c r="W41" s="25" t="str">
        <f aca="false">IF($C41="Milestone",IF(AND(W$7&lt;=$I41,W$7+6&gt;=$I41),"◆",""),IF(AND($C41="Task",$M41&lt;&gt;"",W$7&lt;=IF($N41="",$D$4,$N41),W$7+6&gt;=$M41),"●",""))</f>
        <v/>
      </c>
      <c r="X41" s="25" t="str">
        <f aca="false">IF($C41="Milestone",IF(AND(X$7&lt;=$I41,X$7+6&gt;=$I41),"◆",""),IF(AND($C41="Task",$M41&lt;&gt;"",X$7&lt;=IF($N41="",$D$4,$N41),X$7+6&gt;=$M41),"●",""))</f>
        <v/>
      </c>
      <c r="Y41" s="25" t="str">
        <f aca="false">IF($C41="Milestone",IF(AND(Y$7&lt;=$I41,Y$7+6&gt;=$I41),"◆",""),IF(AND($C41="Task",$M41&lt;&gt;"",Y$7&lt;=IF($N41="",$D$4,$N41),Y$7+6&gt;=$M41),"●",""))</f>
        <v/>
      </c>
      <c r="Z41" s="25" t="str">
        <f aca="false">IF($C41="Milestone",IF(AND(Z$7&lt;=$I41,Z$7+6&gt;=$I41),"◆",""),IF(AND($C41="Task",$M41&lt;&gt;"",Z$7&lt;=IF($N41="",$D$4,$N41),Z$7+6&gt;=$M41),"●",""))</f>
        <v/>
      </c>
      <c r="AA41" s="25" t="str">
        <f aca="false">IF($C41="Milestone",IF(AND(AA$7&lt;=$I41,AA$7+6&gt;=$I41),"◆",""),IF(AND($C41="Task",$M41&lt;&gt;"",AA$7&lt;=IF($N41="",$D$4,$N41),AA$7+6&gt;=$M41),"●",""))</f>
        <v/>
      </c>
      <c r="AB41" s="25" t="str">
        <f aca="false">IF($C41="Milestone",IF(AND(AB$7&lt;=$I41,AB$7+6&gt;=$I41),"◆",""),IF(AND($C41="Task",$M41&lt;&gt;"",AB$7&lt;=IF($N41="",$D$4,$N41),AB$7+6&gt;=$M41),"●",""))</f>
        <v/>
      </c>
      <c r="AC41" s="25" t="str">
        <f aca="false">IF($C41="Milestone",IF(AND(AC$7&lt;=$I41,AC$7+6&gt;=$I41),"◆",""),IF(AND($C41="Task",$M41&lt;&gt;"",AC$7&lt;=IF($N41="",$D$4,$N41),AC$7+6&gt;=$M41),"●",""))</f>
        <v/>
      </c>
      <c r="AD41" s="25" t="str">
        <f aca="false">IF($C41="Milestone",IF(AND(AD$7&lt;=$I41,AD$7+6&gt;=$I41),"◆",""),IF(AND($C41="Task",$M41&lt;&gt;"",AD$7&lt;=IF($N41="",$D$4,$N41),AD$7+6&gt;=$M41),"●",""))</f>
        <v/>
      </c>
      <c r="AE41" s="25" t="str">
        <f aca="false">IF($C41="Milestone",IF(AND(AE$7&lt;=$I41,AE$7+6&gt;=$I41),"◆",""),IF(AND($C41="Task",$M41&lt;&gt;"",AE$7&lt;=IF($N41="",$D$4,$N41),AE$7+6&gt;=$M41),"●",""))</f>
        <v/>
      </c>
      <c r="AF41" s="25" t="str">
        <f aca="false">IF($C41="Milestone",IF(AND(AF$7&lt;=$I41,AF$7+6&gt;=$I41),"◆",""),IF(AND($C41="Task",$M41&lt;&gt;"",AF$7&lt;=IF($N41="",$D$4,$N41),AF$7+6&gt;=$M41),"●",""))</f>
        <v/>
      </c>
      <c r="AG41" s="25" t="str">
        <f aca="false">IF($C41="Milestone",IF(AND(AG$7&lt;=$I41,AG$7+6&gt;=$I41),"◆",""),IF(AND($C41="Task",$M41&lt;&gt;"",AG$7&lt;=IF($N41="",$D$4,$N41),AG$7+6&gt;=$M41),"●",""))</f>
        <v/>
      </c>
      <c r="AH41" s="25" t="str">
        <f aca="false">IF($C41="Milestone",IF(AND(AH$7&lt;=$I41,AH$7+6&gt;=$I41),"◆",""),IF(AND($C41="Task",$M41&lt;&gt;"",AH$7&lt;=IF($N41="",$D$4,$N41),AH$7+6&gt;=$M41),"●",""))</f>
        <v/>
      </c>
      <c r="AI41" s="25" t="str">
        <f aca="false">IF($C41="Milestone",IF(AND(AI$7&lt;=$I41,AI$7+6&gt;=$I41),"◆",""),IF(AND($C41="Task",$M41&lt;&gt;"",AI$7&lt;=IF($N41="",$D$4,$N41),AI$7+6&gt;=$M41),"●",""))</f>
        <v/>
      </c>
      <c r="AJ41" s="25" t="str">
        <f aca="false">IF($C41="Milestone",IF(AND(AJ$7&lt;=$I41,AJ$7+6&gt;=$I41),"◆",""),IF(AND($C41="Task",$M41&lt;&gt;"",AJ$7&lt;=IF($N41="",$D$4,$N41),AJ$7+6&gt;=$M41),"●",""))</f>
        <v/>
      </c>
      <c r="AK41" s="25" t="str">
        <f aca="false">IF($C41="Milestone",IF(AND(AK$7&lt;=$I41,AK$7+6&gt;=$I41),"◆",""),IF(AND($C41="Task",$M41&lt;&gt;"",AK$7&lt;=IF($N41="",$D$4,$N41),AK$7+6&gt;=$M41),"●",""))</f>
        <v/>
      </c>
      <c r="AL41" s="25" t="str">
        <f aca="false">IF($C41="Milestone",IF(AND(AL$7&lt;=$I41,AL$7+6&gt;=$I41),"◆",""),IF(AND($C41="Task",$M41&lt;&gt;"",AL$7&lt;=IF($N41="",$D$4,$N41),AL$7+6&gt;=$M41),"●",""))</f>
        <v/>
      </c>
      <c r="AM41" s="25" t="str">
        <f aca="false">IF($C41="Milestone",IF(AND(AM$7&lt;=$I41,AM$7+6&gt;=$I41),"◆",""),IF(AND($C41="Task",$M41&lt;&gt;"",AM$7&lt;=IF($N41="",$D$4,$N41),AM$7+6&gt;=$M41),"●",""))</f>
        <v/>
      </c>
      <c r="AN41" s="25" t="str">
        <f aca="false">IF($C41="Milestone",IF(AND(AN$7&lt;=$I41,AN$7+6&gt;=$I41),"◆",""),IF(AND($C41="Task",$M41&lt;&gt;"",AN$7&lt;=IF($N41="",$D$4,$N41),AN$7+6&gt;=$M41),"●",""))</f>
        <v/>
      </c>
      <c r="AO41" s="25" t="str">
        <f aca="false">IF($C41="Milestone",IF(AND(AO$7&lt;=$I41,AO$7+6&gt;=$I41),"◆",""),IF(AND($C41="Task",$M41&lt;&gt;"",AO$7&lt;=IF($N41="",$D$4,$N41),AO$7+6&gt;=$M41),"●",""))</f>
        <v/>
      </c>
      <c r="AP41" s="25" t="str">
        <f aca="false">IF($C41="Milestone",IF(AND(AP$7&lt;=$I41,AP$7+6&gt;=$I41),"◆",""),IF(AND($C41="Task",$M41&lt;&gt;"",AP$7&lt;=IF($N41="",$D$4,$N41),AP$7+6&gt;=$M41),"●",""))</f>
        <v/>
      </c>
      <c r="AQ41" s="25" t="str">
        <f aca="false">IF($C41="Milestone",IF(AND(AQ$7&lt;=$I41,AQ$7+6&gt;=$I41),"◆",""),IF(AND($C41="Task",$M41&lt;&gt;"",AQ$7&lt;=IF($N41="",$D$4,$N41),AQ$7+6&gt;=$M41),"●",""))</f>
        <v/>
      </c>
      <c r="AR41" s="25" t="str">
        <f aca="false">IF($C41="Milestone",IF(AND(AR$7&lt;=$I41,AR$7+6&gt;=$I41),"◆",""),IF(AND($C41="Task",$M41&lt;&gt;"",AR$7&lt;=IF($N41="",$D$4,$N41),AR$7+6&gt;=$M41),"●",""))</f>
        <v/>
      </c>
      <c r="AS41" s="25" t="str">
        <f aca="false">IF($C41="Milestone",IF(AND(AS$7&lt;=$I41,AS$7+6&gt;=$I41),"◆",""),IF(AND($C41="Task",$M41&lt;&gt;"",AS$7&lt;=IF($N41="",$D$4,$N41),AS$7+6&gt;=$M41),"●",""))</f>
        <v/>
      </c>
      <c r="AT41" s="25" t="str">
        <f aca="false">IF($C41="Milestone",IF(AND(AT$7&lt;=$I41,AT$7+6&gt;=$I41),"◆",""),IF(AND($C41="Task",$M41&lt;&gt;"",AT$7&lt;=IF($N41="",$D$4,$N41),AT$7+6&gt;=$M41),"●",""))</f>
        <v/>
      </c>
      <c r="AU41" s="25" t="str">
        <f aca="false">IF($C41="Milestone",IF(AND(AU$7&lt;=$I41,AU$7+6&gt;=$I41),"◆",""),IF(AND($C41="Task",$M41&lt;&gt;"",AU$7&lt;=IF($N41="",$D$4,$N41),AU$7+6&gt;=$M41),"●",""))</f>
        <v/>
      </c>
      <c r="AV41" s="25" t="str">
        <f aca="false">IF($C41="Milestone",IF(AND(AV$7&lt;=$I41,AV$7+6&gt;=$I41),"◆",""),IF(AND($C41="Task",$M41&lt;&gt;"",AV$7&lt;=IF($N41="",$D$4,$N41),AV$7+6&gt;=$M41),"●",""))</f>
        <v/>
      </c>
      <c r="AW41" s="25" t="str">
        <f aca="false">IF($C41="Milestone",IF(AND(AW$7&lt;=$I41,AW$7+6&gt;=$I41),"◆",""),IF(AND($C41="Task",$M41&lt;&gt;"",AW$7&lt;=IF($N41="",$D$4,$N41),AW$7+6&gt;=$M41),"●",""))</f>
        <v/>
      </c>
      <c r="AX41" s="25" t="str">
        <f aca="false">IF($C41="Milestone",IF(AND(AX$7&lt;=$I41,AX$7+6&gt;=$I41),"◆",""),IF(AND($C41="Task",$M41&lt;&gt;"",AX$7&lt;=IF($N41="",$D$4,$N41),AX$7+6&gt;=$M41),"●",""))</f>
        <v/>
      </c>
      <c r="AY41" s="25" t="str">
        <f aca="false">IF($C41="Milestone",IF(AND(AY$7&lt;=$I41,AY$7+6&gt;=$I41),"◆",""),IF(AND($C41="Task",$M41&lt;&gt;"",AY$7&lt;=IF($N41="",$D$4,$N41),AY$7+6&gt;=$M41),"●",""))</f>
        <v/>
      </c>
      <c r="AZ41" s="25" t="str">
        <f aca="false">IF($C41="Milestone",IF(AND(AZ$7&lt;=$I41,AZ$7+6&gt;=$I41),"◆",""),IF(AND($C41="Task",$M41&lt;&gt;"",AZ$7&lt;=IF($N41="",$D$4,$N41),AZ$7+6&gt;=$M41),"●",""))</f>
        <v/>
      </c>
    </row>
    <row r="42" customFormat="false" ht="18" hidden="false" customHeight="true" outlineLevel="0" collapsed="false">
      <c r="A42" s="18" t="s">
        <v>115</v>
      </c>
      <c r="B42" s="19" t="s">
        <v>116</v>
      </c>
      <c r="C42" s="18" t="s">
        <v>20</v>
      </c>
      <c r="D42" s="18" t="s">
        <v>112</v>
      </c>
      <c r="E42" s="18" t="s">
        <v>113</v>
      </c>
      <c r="F42" s="18" t="s">
        <v>50</v>
      </c>
      <c r="G42" s="20" t="n">
        <v>46356</v>
      </c>
      <c r="H42" s="20" t="n">
        <v>46360</v>
      </c>
      <c r="I42" s="21" t="n">
        <v>46342</v>
      </c>
      <c r="J42" s="21" t="n">
        <v>46346</v>
      </c>
      <c r="K42" s="18" t="n">
        <f aca="false">IF(C42="Task",ROUND((J42-I42+3)/7,0),"")</f>
        <v>1</v>
      </c>
      <c r="L42" s="18" t="n">
        <v>1</v>
      </c>
      <c r="M42" s="21"/>
      <c r="N42" s="21"/>
      <c r="O42" s="22"/>
      <c r="P42" s="18" t="str">
        <f aca="false">IF(C42="Break","",IF(C42="Milestone",IF(N42&lt;&gt;"","Done",IF($D$4&gt;J42,"Overdue","Upcoming")),IF(N(O42)&gt;=1,"Done",IF($D$4&lt;I42,"Not started",IF($D$4&gt;J42,"Late",IF(N(O42)+0.1&lt;($D$4-I42+1)/(J42-I42+1),"Behind","On track"))))))</f>
        <v>Not started</v>
      </c>
      <c r="Q42" s="23" t="n">
        <f aca="false">IF(C42="Break","",ROUND((IF(N42&lt;&gt;"",N42,J42)-H42)/7,1))</f>
        <v>-2</v>
      </c>
      <c r="R42" s="18" t="str">
        <f aca="false">IF(C42="Milestone",IF(N42&lt;&gt;"","✓",""),IF(AND(C42="Task",N(O42)&gt;=1),"✓",""))</f>
        <v/>
      </c>
      <c r="S42" s="18" t="n">
        <f aca="false">IF(C42="Task",K42*N(O42),"")</f>
        <v>0</v>
      </c>
      <c r="T42" s="24"/>
      <c r="U42" s="25" t="str">
        <f aca="false">IF($C42="Milestone",IF(AND(U$7&lt;=$I42,U$7+6&gt;=$I42),"◆",""),IF(AND($C42="Task",$M42&lt;&gt;"",U$7&lt;=IF($N42="",$D$4,$N42),U$7+6&gt;=$M42),"●",""))</f>
        <v/>
      </c>
      <c r="V42" s="25" t="str">
        <f aca="false">IF($C42="Milestone",IF(AND(V$7&lt;=$I42,V$7+6&gt;=$I42),"◆",""),IF(AND($C42="Task",$M42&lt;&gt;"",V$7&lt;=IF($N42="",$D$4,$N42),V$7+6&gt;=$M42),"●",""))</f>
        <v/>
      </c>
      <c r="W42" s="25" t="str">
        <f aca="false">IF($C42="Milestone",IF(AND(W$7&lt;=$I42,W$7+6&gt;=$I42),"◆",""),IF(AND($C42="Task",$M42&lt;&gt;"",W$7&lt;=IF($N42="",$D$4,$N42),W$7+6&gt;=$M42),"●",""))</f>
        <v/>
      </c>
      <c r="X42" s="25" t="str">
        <f aca="false">IF($C42="Milestone",IF(AND(X$7&lt;=$I42,X$7+6&gt;=$I42),"◆",""),IF(AND($C42="Task",$M42&lt;&gt;"",X$7&lt;=IF($N42="",$D$4,$N42),X$7+6&gt;=$M42),"●",""))</f>
        <v/>
      </c>
      <c r="Y42" s="25" t="str">
        <f aca="false">IF($C42="Milestone",IF(AND(Y$7&lt;=$I42,Y$7+6&gt;=$I42),"◆",""),IF(AND($C42="Task",$M42&lt;&gt;"",Y$7&lt;=IF($N42="",$D$4,$N42),Y$7+6&gt;=$M42),"●",""))</f>
        <v/>
      </c>
      <c r="Z42" s="25" t="str">
        <f aca="false">IF($C42="Milestone",IF(AND(Z$7&lt;=$I42,Z$7+6&gt;=$I42),"◆",""),IF(AND($C42="Task",$M42&lt;&gt;"",Z$7&lt;=IF($N42="",$D$4,$N42),Z$7+6&gt;=$M42),"●",""))</f>
        <v/>
      </c>
      <c r="AA42" s="25" t="str">
        <f aca="false">IF($C42="Milestone",IF(AND(AA$7&lt;=$I42,AA$7+6&gt;=$I42),"◆",""),IF(AND($C42="Task",$M42&lt;&gt;"",AA$7&lt;=IF($N42="",$D$4,$N42),AA$7+6&gt;=$M42),"●",""))</f>
        <v/>
      </c>
      <c r="AB42" s="25" t="str">
        <f aca="false">IF($C42="Milestone",IF(AND(AB$7&lt;=$I42,AB$7+6&gt;=$I42),"◆",""),IF(AND($C42="Task",$M42&lt;&gt;"",AB$7&lt;=IF($N42="",$D$4,$N42),AB$7+6&gt;=$M42),"●",""))</f>
        <v/>
      </c>
      <c r="AC42" s="25" t="str">
        <f aca="false">IF($C42="Milestone",IF(AND(AC$7&lt;=$I42,AC$7+6&gt;=$I42),"◆",""),IF(AND($C42="Task",$M42&lt;&gt;"",AC$7&lt;=IF($N42="",$D$4,$N42),AC$7+6&gt;=$M42),"●",""))</f>
        <v/>
      </c>
      <c r="AD42" s="25" t="str">
        <f aca="false">IF($C42="Milestone",IF(AND(AD$7&lt;=$I42,AD$7+6&gt;=$I42),"◆",""),IF(AND($C42="Task",$M42&lt;&gt;"",AD$7&lt;=IF($N42="",$D$4,$N42),AD$7+6&gt;=$M42),"●",""))</f>
        <v/>
      </c>
      <c r="AE42" s="25" t="str">
        <f aca="false">IF($C42="Milestone",IF(AND(AE$7&lt;=$I42,AE$7+6&gt;=$I42),"◆",""),IF(AND($C42="Task",$M42&lt;&gt;"",AE$7&lt;=IF($N42="",$D$4,$N42),AE$7+6&gt;=$M42),"●",""))</f>
        <v/>
      </c>
      <c r="AF42" s="25" t="str">
        <f aca="false">IF($C42="Milestone",IF(AND(AF$7&lt;=$I42,AF$7+6&gt;=$I42),"◆",""),IF(AND($C42="Task",$M42&lt;&gt;"",AF$7&lt;=IF($N42="",$D$4,$N42),AF$7+6&gt;=$M42),"●",""))</f>
        <v/>
      </c>
      <c r="AG42" s="25" t="str">
        <f aca="false">IF($C42="Milestone",IF(AND(AG$7&lt;=$I42,AG$7+6&gt;=$I42),"◆",""),IF(AND($C42="Task",$M42&lt;&gt;"",AG$7&lt;=IF($N42="",$D$4,$N42),AG$7+6&gt;=$M42),"●",""))</f>
        <v/>
      </c>
      <c r="AH42" s="25" t="str">
        <f aca="false">IF($C42="Milestone",IF(AND(AH$7&lt;=$I42,AH$7+6&gt;=$I42),"◆",""),IF(AND($C42="Task",$M42&lt;&gt;"",AH$7&lt;=IF($N42="",$D$4,$N42),AH$7+6&gt;=$M42),"●",""))</f>
        <v/>
      </c>
      <c r="AI42" s="25" t="str">
        <f aca="false">IF($C42="Milestone",IF(AND(AI$7&lt;=$I42,AI$7+6&gt;=$I42),"◆",""),IF(AND($C42="Task",$M42&lt;&gt;"",AI$7&lt;=IF($N42="",$D$4,$N42),AI$7+6&gt;=$M42),"●",""))</f>
        <v/>
      </c>
      <c r="AJ42" s="25" t="str">
        <f aca="false">IF($C42="Milestone",IF(AND(AJ$7&lt;=$I42,AJ$7+6&gt;=$I42),"◆",""),IF(AND($C42="Task",$M42&lt;&gt;"",AJ$7&lt;=IF($N42="",$D$4,$N42),AJ$7+6&gt;=$M42),"●",""))</f>
        <v/>
      </c>
      <c r="AK42" s="25" t="str">
        <f aca="false">IF($C42="Milestone",IF(AND(AK$7&lt;=$I42,AK$7+6&gt;=$I42),"◆",""),IF(AND($C42="Task",$M42&lt;&gt;"",AK$7&lt;=IF($N42="",$D$4,$N42),AK$7+6&gt;=$M42),"●",""))</f>
        <v/>
      </c>
      <c r="AL42" s="25" t="str">
        <f aca="false">IF($C42="Milestone",IF(AND(AL$7&lt;=$I42,AL$7+6&gt;=$I42),"◆",""),IF(AND($C42="Task",$M42&lt;&gt;"",AL$7&lt;=IF($N42="",$D$4,$N42),AL$7+6&gt;=$M42),"●",""))</f>
        <v/>
      </c>
      <c r="AM42" s="25" t="str">
        <f aca="false">IF($C42="Milestone",IF(AND(AM$7&lt;=$I42,AM$7+6&gt;=$I42),"◆",""),IF(AND($C42="Task",$M42&lt;&gt;"",AM$7&lt;=IF($N42="",$D$4,$N42),AM$7+6&gt;=$M42),"●",""))</f>
        <v/>
      </c>
      <c r="AN42" s="25" t="str">
        <f aca="false">IF($C42="Milestone",IF(AND(AN$7&lt;=$I42,AN$7+6&gt;=$I42),"◆",""),IF(AND($C42="Task",$M42&lt;&gt;"",AN$7&lt;=IF($N42="",$D$4,$N42),AN$7+6&gt;=$M42),"●",""))</f>
        <v/>
      </c>
      <c r="AO42" s="25" t="str">
        <f aca="false">IF($C42="Milestone",IF(AND(AO$7&lt;=$I42,AO$7+6&gt;=$I42),"◆",""),IF(AND($C42="Task",$M42&lt;&gt;"",AO$7&lt;=IF($N42="",$D$4,$N42),AO$7+6&gt;=$M42),"●",""))</f>
        <v/>
      </c>
      <c r="AP42" s="25" t="str">
        <f aca="false">IF($C42="Milestone",IF(AND(AP$7&lt;=$I42,AP$7+6&gt;=$I42),"◆",""),IF(AND($C42="Task",$M42&lt;&gt;"",AP$7&lt;=IF($N42="",$D$4,$N42),AP$7+6&gt;=$M42),"●",""))</f>
        <v/>
      </c>
      <c r="AQ42" s="25" t="str">
        <f aca="false">IF($C42="Milestone",IF(AND(AQ$7&lt;=$I42,AQ$7+6&gt;=$I42),"◆",""),IF(AND($C42="Task",$M42&lt;&gt;"",AQ$7&lt;=IF($N42="",$D$4,$N42),AQ$7+6&gt;=$M42),"●",""))</f>
        <v/>
      </c>
      <c r="AR42" s="25" t="str">
        <f aca="false">IF($C42="Milestone",IF(AND(AR$7&lt;=$I42,AR$7+6&gt;=$I42),"◆",""),IF(AND($C42="Task",$M42&lt;&gt;"",AR$7&lt;=IF($N42="",$D$4,$N42),AR$7+6&gt;=$M42),"●",""))</f>
        <v/>
      </c>
      <c r="AS42" s="25" t="str">
        <f aca="false">IF($C42="Milestone",IF(AND(AS$7&lt;=$I42,AS$7+6&gt;=$I42),"◆",""),IF(AND($C42="Task",$M42&lt;&gt;"",AS$7&lt;=IF($N42="",$D$4,$N42),AS$7+6&gt;=$M42),"●",""))</f>
        <v/>
      </c>
      <c r="AT42" s="25" t="str">
        <f aca="false">IF($C42="Milestone",IF(AND(AT$7&lt;=$I42,AT$7+6&gt;=$I42),"◆",""),IF(AND($C42="Task",$M42&lt;&gt;"",AT$7&lt;=IF($N42="",$D$4,$N42),AT$7+6&gt;=$M42),"●",""))</f>
        <v/>
      </c>
      <c r="AU42" s="25" t="str">
        <f aca="false">IF($C42="Milestone",IF(AND(AU$7&lt;=$I42,AU$7+6&gt;=$I42),"◆",""),IF(AND($C42="Task",$M42&lt;&gt;"",AU$7&lt;=IF($N42="",$D$4,$N42),AU$7+6&gt;=$M42),"●",""))</f>
        <v/>
      </c>
      <c r="AV42" s="25" t="str">
        <f aca="false">IF($C42="Milestone",IF(AND(AV$7&lt;=$I42,AV$7+6&gt;=$I42),"◆",""),IF(AND($C42="Task",$M42&lt;&gt;"",AV$7&lt;=IF($N42="",$D$4,$N42),AV$7+6&gt;=$M42),"●",""))</f>
        <v/>
      </c>
      <c r="AW42" s="25" t="str">
        <f aca="false">IF($C42="Milestone",IF(AND(AW$7&lt;=$I42,AW$7+6&gt;=$I42),"◆",""),IF(AND($C42="Task",$M42&lt;&gt;"",AW$7&lt;=IF($N42="",$D$4,$N42),AW$7+6&gt;=$M42),"●",""))</f>
        <v/>
      </c>
      <c r="AX42" s="25" t="str">
        <f aca="false">IF($C42="Milestone",IF(AND(AX$7&lt;=$I42,AX$7+6&gt;=$I42),"◆",""),IF(AND($C42="Task",$M42&lt;&gt;"",AX$7&lt;=IF($N42="",$D$4,$N42),AX$7+6&gt;=$M42),"●",""))</f>
        <v/>
      </c>
      <c r="AY42" s="25" t="str">
        <f aca="false">IF($C42="Milestone",IF(AND(AY$7&lt;=$I42,AY$7+6&gt;=$I42),"◆",""),IF(AND($C42="Task",$M42&lt;&gt;"",AY$7&lt;=IF($N42="",$D$4,$N42),AY$7+6&gt;=$M42),"●",""))</f>
        <v/>
      </c>
      <c r="AZ42" s="25" t="str">
        <f aca="false">IF($C42="Milestone",IF(AND(AZ$7&lt;=$I42,AZ$7+6&gt;=$I42),"◆",""),IF(AND($C42="Task",$M42&lt;&gt;"",AZ$7&lt;=IF($N42="",$D$4,$N42),AZ$7+6&gt;=$M42),"●",""))</f>
        <v/>
      </c>
    </row>
    <row r="43" customFormat="false" ht="18" hidden="false" customHeight="true" outlineLevel="0" collapsed="false">
      <c r="A43" s="18" t="s">
        <v>117</v>
      </c>
      <c r="B43" s="19" t="s">
        <v>118</v>
      </c>
      <c r="C43" s="18" t="s">
        <v>20</v>
      </c>
      <c r="D43" s="18" t="s">
        <v>112</v>
      </c>
      <c r="E43" s="18" t="s">
        <v>115</v>
      </c>
      <c r="F43" s="18" t="s">
        <v>50</v>
      </c>
      <c r="G43" s="20" t="n">
        <v>46363</v>
      </c>
      <c r="H43" s="20" t="n">
        <v>46367</v>
      </c>
      <c r="I43" s="21" t="n">
        <v>46342</v>
      </c>
      <c r="J43" s="21" t="n">
        <v>46346</v>
      </c>
      <c r="K43" s="18" t="n">
        <f aca="false">IF(C43="Task",ROUND((J43-I43+3)/7,0),"")</f>
        <v>1</v>
      </c>
      <c r="L43" s="18" t="n">
        <v>1</v>
      </c>
      <c r="M43" s="21"/>
      <c r="N43" s="21"/>
      <c r="O43" s="22"/>
      <c r="P43" s="18" t="str">
        <f aca="false">IF(C43="Break","",IF(C43="Milestone",IF(N43&lt;&gt;"","Done",IF($D$4&gt;J43,"Overdue","Upcoming")),IF(N(O43)&gt;=1,"Done",IF($D$4&lt;I43,"Not started",IF($D$4&gt;J43,"Late",IF(N(O43)+0.1&lt;($D$4-I43+1)/(J43-I43+1),"Behind","On track"))))))</f>
        <v>Not started</v>
      </c>
      <c r="Q43" s="23" t="n">
        <f aca="false">IF(C43="Break","",ROUND((IF(N43&lt;&gt;"",N43,J43)-H43)/7,1))</f>
        <v>-3</v>
      </c>
      <c r="R43" s="18" t="str">
        <f aca="false">IF(C43="Milestone",IF(N43&lt;&gt;"","✓",""),IF(AND(C43="Task",N(O43)&gt;=1),"✓",""))</f>
        <v/>
      </c>
      <c r="S43" s="18" t="n">
        <f aca="false">IF(C43="Task",K43*N(O43),"")</f>
        <v>0</v>
      </c>
      <c r="T43" s="24"/>
      <c r="U43" s="25" t="str">
        <f aca="false">IF($C43="Milestone",IF(AND(U$7&lt;=$I43,U$7+6&gt;=$I43),"◆",""),IF(AND($C43="Task",$M43&lt;&gt;"",U$7&lt;=IF($N43="",$D$4,$N43),U$7+6&gt;=$M43),"●",""))</f>
        <v/>
      </c>
      <c r="V43" s="25" t="str">
        <f aca="false">IF($C43="Milestone",IF(AND(V$7&lt;=$I43,V$7+6&gt;=$I43),"◆",""),IF(AND($C43="Task",$M43&lt;&gt;"",V$7&lt;=IF($N43="",$D$4,$N43),V$7+6&gt;=$M43),"●",""))</f>
        <v/>
      </c>
      <c r="W43" s="25" t="str">
        <f aca="false">IF($C43="Milestone",IF(AND(W$7&lt;=$I43,W$7+6&gt;=$I43),"◆",""),IF(AND($C43="Task",$M43&lt;&gt;"",W$7&lt;=IF($N43="",$D$4,$N43),W$7+6&gt;=$M43),"●",""))</f>
        <v/>
      </c>
      <c r="X43" s="25" t="str">
        <f aca="false">IF($C43="Milestone",IF(AND(X$7&lt;=$I43,X$7+6&gt;=$I43),"◆",""),IF(AND($C43="Task",$M43&lt;&gt;"",X$7&lt;=IF($N43="",$D$4,$N43),X$7+6&gt;=$M43),"●",""))</f>
        <v/>
      </c>
      <c r="Y43" s="25" t="str">
        <f aca="false">IF($C43="Milestone",IF(AND(Y$7&lt;=$I43,Y$7+6&gt;=$I43),"◆",""),IF(AND($C43="Task",$M43&lt;&gt;"",Y$7&lt;=IF($N43="",$D$4,$N43),Y$7+6&gt;=$M43),"●",""))</f>
        <v/>
      </c>
      <c r="Z43" s="25" t="str">
        <f aca="false">IF($C43="Milestone",IF(AND(Z$7&lt;=$I43,Z$7+6&gt;=$I43),"◆",""),IF(AND($C43="Task",$M43&lt;&gt;"",Z$7&lt;=IF($N43="",$D$4,$N43),Z$7+6&gt;=$M43),"●",""))</f>
        <v/>
      </c>
      <c r="AA43" s="25" t="str">
        <f aca="false">IF($C43="Milestone",IF(AND(AA$7&lt;=$I43,AA$7+6&gt;=$I43),"◆",""),IF(AND($C43="Task",$M43&lt;&gt;"",AA$7&lt;=IF($N43="",$D$4,$N43),AA$7+6&gt;=$M43),"●",""))</f>
        <v/>
      </c>
      <c r="AB43" s="25" t="str">
        <f aca="false">IF($C43="Milestone",IF(AND(AB$7&lt;=$I43,AB$7+6&gt;=$I43),"◆",""),IF(AND($C43="Task",$M43&lt;&gt;"",AB$7&lt;=IF($N43="",$D$4,$N43),AB$7+6&gt;=$M43),"●",""))</f>
        <v/>
      </c>
      <c r="AC43" s="25" t="str">
        <f aca="false">IF($C43="Milestone",IF(AND(AC$7&lt;=$I43,AC$7+6&gt;=$I43),"◆",""),IF(AND($C43="Task",$M43&lt;&gt;"",AC$7&lt;=IF($N43="",$D$4,$N43),AC$7+6&gt;=$M43),"●",""))</f>
        <v/>
      </c>
      <c r="AD43" s="25" t="str">
        <f aca="false">IF($C43="Milestone",IF(AND(AD$7&lt;=$I43,AD$7+6&gt;=$I43),"◆",""),IF(AND($C43="Task",$M43&lt;&gt;"",AD$7&lt;=IF($N43="",$D$4,$N43),AD$7+6&gt;=$M43),"●",""))</f>
        <v/>
      </c>
      <c r="AE43" s="25" t="str">
        <f aca="false">IF($C43="Milestone",IF(AND(AE$7&lt;=$I43,AE$7+6&gt;=$I43),"◆",""),IF(AND($C43="Task",$M43&lt;&gt;"",AE$7&lt;=IF($N43="",$D$4,$N43),AE$7+6&gt;=$M43),"●",""))</f>
        <v/>
      </c>
      <c r="AF43" s="25" t="str">
        <f aca="false">IF($C43="Milestone",IF(AND(AF$7&lt;=$I43,AF$7+6&gt;=$I43),"◆",""),IF(AND($C43="Task",$M43&lt;&gt;"",AF$7&lt;=IF($N43="",$D$4,$N43),AF$7+6&gt;=$M43),"●",""))</f>
        <v/>
      </c>
      <c r="AG43" s="25" t="str">
        <f aca="false">IF($C43="Milestone",IF(AND(AG$7&lt;=$I43,AG$7+6&gt;=$I43),"◆",""),IF(AND($C43="Task",$M43&lt;&gt;"",AG$7&lt;=IF($N43="",$D$4,$N43),AG$7+6&gt;=$M43),"●",""))</f>
        <v/>
      </c>
      <c r="AH43" s="25" t="str">
        <f aca="false">IF($C43="Milestone",IF(AND(AH$7&lt;=$I43,AH$7+6&gt;=$I43),"◆",""),IF(AND($C43="Task",$M43&lt;&gt;"",AH$7&lt;=IF($N43="",$D$4,$N43),AH$7+6&gt;=$M43),"●",""))</f>
        <v/>
      </c>
      <c r="AI43" s="25" t="str">
        <f aca="false">IF($C43="Milestone",IF(AND(AI$7&lt;=$I43,AI$7+6&gt;=$I43),"◆",""),IF(AND($C43="Task",$M43&lt;&gt;"",AI$7&lt;=IF($N43="",$D$4,$N43),AI$7+6&gt;=$M43),"●",""))</f>
        <v/>
      </c>
      <c r="AJ43" s="25" t="str">
        <f aca="false">IF($C43="Milestone",IF(AND(AJ$7&lt;=$I43,AJ$7+6&gt;=$I43),"◆",""),IF(AND($C43="Task",$M43&lt;&gt;"",AJ$7&lt;=IF($N43="",$D$4,$N43),AJ$7+6&gt;=$M43),"●",""))</f>
        <v/>
      </c>
      <c r="AK43" s="25" t="str">
        <f aca="false">IF($C43="Milestone",IF(AND(AK$7&lt;=$I43,AK$7+6&gt;=$I43),"◆",""),IF(AND($C43="Task",$M43&lt;&gt;"",AK$7&lt;=IF($N43="",$D$4,$N43),AK$7+6&gt;=$M43),"●",""))</f>
        <v/>
      </c>
      <c r="AL43" s="25" t="str">
        <f aca="false">IF($C43="Milestone",IF(AND(AL$7&lt;=$I43,AL$7+6&gt;=$I43),"◆",""),IF(AND($C43="Task",$M43&lt;&gt;"",AL$7&lt;=IF($N43="",$D$4,$N43),AL$7+6&gt;=$M43),"●",""))</f>
        <v/>
      </c>
      <c r="AM43" s="25" t="str">
        <f aca="false">IF($C43="Milestone",IF(AND(AM$7&lt;=$I43,AM$7+6&gt;=$I43),"◆",""),IF(AND($C43="Task",$M43&lt;&gt;"",AM$7&lt;=IF($N43="",$D$4,$N43),AM$7+6&gt;=$M43),"●",""))</f>
        <v/>
      </c>
      <c r="AN43" s="25" t="str">
        <f aca="false">IF($C43="Milestone",IF(AND(AN$7&lt;=$I43,AN$7+6&gt;=$I43),"◆",""),IF(AND($C43="Task",$M43&lt;&gt;"",AN$7&lt;=IF($N43="",$D$4,$N43),AN$7+6&gt;=$M43),"●",""))</f>
        <v/>
      </c>
      <c r="AO43" s="25" t="str">
        <f aca="false">IF($C43="Milestone",IF(AND(AO$7&lt;=$I43,AO$7+6&gt;=$I43),"◆",""),IF(AND($C43="Task",$M43&lt;&gt;"",AO$7&lt;=IF($N43="",$D$4,$N43),AO$7+6&gt;=$M43),"●",""))</f>
        <v/>
      </c>
      <c r="AP43" s="25" t="str">
        <f aca="false">IF($C43="Milestone",IF(AND(AP$7&lt;=$I43,AP$7+6&gt;=$I43),"◆",""),IF(AND($C43="Task",$M43&lt;&gt;"",AP$7&lt;=IF($N43="",$D$4,$N43),AP$7+6&gt;=$M43),"●",""))</f>
        <v/>
      </c>
      <c r="AQ43" s="25" t="str">
        <f aca="false">IF($C43="Milestone",IF(AND(AQ$7&lt;=$I43,AQ$7+6&gt;=$I43),"◆",""),IF(AND($C43="Task",$M43&lt;&gt;"",AQ$7&lt;=IF($N43="",$D$4,$N43),AQ$7+6&gt;=$M43),"●",""))</f>
        <v/>
      </c>
      <c r="AR43" s="25" t="str">
        <f aca="false">IF($C43="Milestone",IF(AND(AR$7&lt;=$I43,AR$7+6&gt;=$I43),"◆",""),IF(AND($C43="Task",$M43&lt;&gt;"",AR$7&lt;=IF($N43="",$D$4,$N43),AR$7+6&gt;=$M43),"●",""))</f>
        <v/>
      </c>
      <c r="AS43" s="25" t="str">
        <f aca="false">IF($C43="Milestone",IF(AND(AS$7&lt;=$I43,AS$7+6&gt;=$I43),"◆",""),IF(AND($C43="Task",$M43&lt;&gt;"",AS$7&lt;=IF($N43="",$D$4,$N43),AS$7+6&gt;=$M43),"●",""))</f>
        <v/>
      </c>
      <c r="AT43" s="25" t="str">
        <f aca="false">IF($C43="Milestone",IF(AND(AT$7&lt;=$I43,AT$7+6&gt;=$I43),"◆",""),IF(AND($C43="Task",$M43&lt;&gt;"",AT$7&lt;=IF($N43="",$D$4,$N43),AT$7+6&gt;=$M43),"●",""))</f>
        <v/>
      </c>
      <c r="AU43" s="25" t="str">
        <f aca="false">IF($C43="Milestone",IF(AND(AU$7&lt;=$I43,AU$7+6&gt;=$I43),"◆",""),IF(AND($C43="Task",$M43&lt;&gt;"",AU$7&lt;=IF($N43="",$D$4,$N43),AU$7+6&gt;=$M43),"●",""))</f>
        <v/>
      </c>
      <c r="AV43" s="25" t="str">
        <f aca="false">IF($C43="Milestone",IF(AND(AV$7&lt;=$I43,AV$7+6&gt;=$I43),"◆",""),IF(AND($C43="Task",$M43&lt;&gt;"",AV$7&lt;=IF($N43="",$D$4,$N43),AV$7+6&gt;=$M43),"●",""))</f>
        <v/>
      </c>
      <c r="AW43" s="25" t="str">
        <f aca="false">IF($C43="Milestone",IF(AND(AW$7&lt;=$I43,AW$7+6&gt;=$I43),"◆",""),IF(AND($C43="Task",$M43&lt;&gt;"",AW$7&lt;=IF($N43="",$D$4,$N43),AW$7+6&gt;=$M43),"●",""))</f>
        <v/>
      </c>
      <c r="AX43" s="25" t="str">
        <f aca="false">IF($C43="Milestone",IF(AND(AX$7&lt;=$I43,AX$7+6&gt;=$I43),"◆",""),IF(AND($C43="Task",$M43&lt;&gt;"",AX$7&lt;=IF($N43="",$D$4,$N43),AX$7+6&gt;=$M43),"●",""))</f>
        <v/>
      </c>
      <c r="AY43" s="25" t="str">
        <f aca="false">IF($C43="Milestone",IF(AND(AY$7&lt;=$I43,AY$7+6&gt;=$I43),"◆",""),IF(AND($C43="Task",$M43&lt;&gt;"",AY$7&lt;=IF($N43="",$D$4,$N43),AY$7+6&gt;=$M43),"●",""))</f>
        <v/>
      </c>
      <c r="AZ43" s="25" t="str">
        <f aca="false">IF($C43="Milestone",IF(AND(AZ$7&lt;=$I43,AZ$7+6&gt;=$I43),"◆",""),IF(AND($C43="Task",$M43&lt;&gt;"",AZ$7&lt;=IF($N43="",$D$4,$N43),AZ$7+6&gt;=$M43),"●",""))</f>
        <v/>
      </c>
    </row>
    <row r="44" customFormat="false" ht="18" hidden="false" customHeight="true" outlineLevel="0" collapsed="false">
      <c r="A44" s="18" t="s">
        <v>119</v>
      </c>
      <c r="B44" s="19" t="s">
        <v>120</v>
      </c>
      <c r="C44" s="18" t="s">
        <v>43</v>
      </c>
      <c r="D44" s="18" t="s">
        <v>112</v>
      </c>
      <c r="E44" s="18" t="s">
        <v>117</v>
      </c>
      <c r="F44" s="18" t="s">
        <v>50</v>
      </c>
      <c r="G44" s="20" t="n">
        <v>46367</v>
      </c>
      <c r="H44" s="20" t="n">
        <v>46367</v>
      </c>
      <c r="I44" s="21" t="n">
        <v>46346</v>
      </c>
      <c r="J44" s="21" t="n">
        <v>46346</v>
      </c>
      <c r="K44" s="18" t="str">
        <f aca="false">IF(C44="Task",ROUND((J44-I44+3)/7,0),"")</f>
        <v/>
      </c>
      <c r="L44" s="18"/>
      <c r="M44" s="21"/>
      <c r="N44" s="21"/>
      <c r="O44" s="22"/>
      <c r="P44" s="18" t="str">
        <f aca="false">IF(C44="Break","",IF(C44="Milestone",IF(N44&lt;&gt;"","Done",IF($D$4&gt;J44,"Overdue","Upcoming")),IF(N(O44)&gt;=1,"Done",IF($D$4&lt;I44,"Not started",IF($D$4&gt;J44,"Late",IF(N(O44)+0.1&lt;($D$4-I44+1)/(J44-I44+1),"Behind","On track"))))))</f>
        <v>Upcoming</v>
      </c>
      <c r="Q44" s="23" t="n">
        <f aca="false">IF(C44="Break","",ROUND((IF(N44&lt;&gt;"",N44,J44)-H44)/7,1))</f>
        <v>-3</v>
      </c>
      <c r="R44" s="18" t="str">
        <f aca="false">IF(C44="Milestone",IF(N44&lt;&gt;"","✓",""),IF(AND(C44="Task",N(O44)&gt;=1),"✓",""))</f>
        <v/>
      </c>
      <c r="S44" s="18" t="str">
        <f aca="false">IF(C44="Task",K44*N(O44),"")</f>
        <v/>
      </c>
      <c r="T44" s="24"/>
      <c r="U44" s="25" t="str">
        <f aca="false">IF($C44="Milestone",IF(AND(U$7&lt;=$I44,U$7+6&gt;=$I44),"◆",""),IF(AND($C44="Task",$M44&lt;&gt;"",U$7&lt;=IF($N44="",$D$4,$N44),U$7+6&gt;=$M44),"●",""))</f>
        <v/>
      </c>
      <c r="V44" s="25" t="str">
        <f aca="false">IF($C44="Milestone",IF(AND(V$7&lt;=$I44,V$7+6&gt;=$I44),"◆",""),IF(AND($C44="Task",$M44&lt;&gt;"",V$7&lt;=IF($N44="",$D$4,$N44),V$7+6&gt;=$M44),"●",""))</f>
        <v/>
      </c>
      <c r="W44" s="25" t="str">
        <f aca="false">IF($C44="Milestone",IF(AND(W$7&lt;=$I44,W$7+6&gt;=$I44),"◆",""),IF(AND($C44="Task",$M44&lt;&gt;"",W$7&lt;=IF($N44="",$D$4,$N44),W$7+6&gt;=$M44),"●",""))</f>
        <v/>
      </c>
      <c r="X44" s="25" t="str">
        <f aca="false">IF($C44="Milestone",IF(AND(X$7&lt;=$I44,X$7+6&gt;=$I44),"◆",""),IF(AND($C44="Task",$M44&lt;&gt;"",X$7&lt;=IF($N44="",$D$4,$N44),X$7+6&gt;=$M44),"●",""))</f>
        <v/>
      </c>
      <c r="Y44" s="25" t="str">
        <f aca="false">IF($C44="Milestone",IF(AND(Y$7&lt;=$I44,Y$7+6&gt;=$I44),"◆",""),IF(AND($C44="Task",$M44&lt;&gt;"",Y$7&lt;=IF($N44="",$D$4,$N44),Y$7+6&gt;=$M44),"●",""))</f>
        <v>◆</v>
      </c>
      <c r="Z44" s="25" t="str">
        <f aca="false">IF($C44="Milestone",IF(AND(Z$7&lt;=$I44,Z$7+6&gt;=$I44),"◆",""),IF(AND($C44="Task",$M44&lt;&gt;"",Z$7&lt;=IF($N44="",$D$4,$N44),Z$7+6&gt;=$M44),"●",""))</f>
        <v/>
      </c>
      <c r="AA44" s="25" t="str">
        <f aca="false">IF($C44="Milestone",IF(AND(AA$7&lt;=$I44,AA$7+6&gt;=$I44),"◆",""),IF(AND($C44="Task",$M44&lt;&gt;"",AA$7&lt;=IF($N44="",$D$4,$N44),AA$7+6&gt;=$M44),"●",""))</f>
        <v/>
      </c>
      <c r="AB44" s="25" t="str">
        <f aca="false">IF($C44="Milestone",IF(AND(AB$7&lt;=$I44,AB$7+6&gt;=$I44),"◆",""),IF(AND($C44="Task",$M44&lt;&gt;"",AB$7&lt;=IF($N44="",$D$4,$N44),AB$7+6&gt;=$M44),"●",""))</f>
        <v/>
      </c>
      <c r="AC44" s="25" t="str">
        <f aca="false">IF($C44="Milestone",IF(AND(AC$7&lt;=$I44,AC$7+6&gt;=$I44),"◆",""),IF(AND($C44="Task",$M44&lt;&gt;"",AC$7&lt;=IF($N44="",$D$4,$N44),AC$7+6&gt;=$M44),"●",""))</f>
        <v/>
      </c>
      <c r="AD44" s="25" t="str">
        <f aca="false">IF($C44="Milestone",IF(AND(AD$7&lt;=$I44,AD$7+6&gt;=$I44),"◆",""),IF(AND($C44="Task",$M44&lt;&gt;"",AD$7&lt;=IF($N44="",$D$4,$N44),AD$7+6&gt;=$M44),"●",""))</f>
        <v/>
      </c>
      <c r="AE44" s="25" t="str">
        <f aca="false">IF($C44="Milestone",IF(AND(AE$7&lt;=$I44,AE$7+6&gt;=$I44),"◆",""),IF(AND($C44="Task",$M44&lt;&gt;"",AE$7&lt;=IF($N44="",$D$4,$N44),AE$7+6&gt;=$M44),"●",""))</f>
        <v/>
      </c>
      <c r="AF44" s="25" t="str">
        <f aca="false">IF($C44="Milestone",IF(AND(AF$7&lt;=$I44,AF$7+6&gt;=$I44),"◆",""),IF(AND($C44="Task",$M44&lt;&gt;"",AF$7&lt;=IF($N44="",$D$4,$N44),AF$7+6&gt;=$M44),"●",""))</f>
        <v/>
      </c>
      <c r="AG44" s="25" t="str">
        <f aca="false">IF($C44="Milestone",IF(AND(AG$7&lt;=$I44,AG$7+6&gt;=$I44),"◆",""),IF(AND($C44="Task",$M44&lt;&gt;"",AG$7&lt;=IF($N44="",$D$4,$N44),AG$7+6&gt;=$M44),"●",""))</f>
        <v/>
      </c>
      <c r="AH44" s="25" t="str">
        <f aca="false">IF($C44="Milestone",IF(AND(AH$7&lt;=$I44,AH$7+6&gt;=$I44),"◆",""),IF(AND($C44="Task",$M44&lt;&gt;"",AH$7&lt;=IF($N44="",$D$4,$N44),AH$7+6&gt;=$M44),"●",""))</f>
        <v/>
      </c>
      <c r="AI44" s="25" t="str">
        <f aca="false">IF($C44="Milestone",IF(AND(AI$7&lt;=$I44,AI$7+6&gt;=$I44),"◆",""),IF(AND($C44="Task",$M44&lt;&gt;"",AI$7&lt;=IF($N44="",$D$4,$N44),AI$7+6&gt;=$M44),"●",""))</f>
        <v/>
      </c>
      <c r="AJ44" s="25" t="str">
        <f aca="false">IF($C44="Milestone",IF(AND(AJ$7&lt;=$I44,AJ$7+6&gt;=$I44),"◆",""),IF(AND($C44="Task",$M44&lt;&gt;"",AJ$7&lt;=IF($N44="",$D$4,$N44),AJ$7+6&gt;=$M44),"●",""))</f>
        <v/>
      </c>
      <c r="AK44" s="25" t="str">
        <f aca="false">IF($C44="Milestone",IF(AND(AK$7&lt;=$I44,AK$7+6&gt;=$I44),"◆",""),IF(AND($C44="Task",$M44&lt;&gt;"",AK$7&lt;=IF($N44="",$D$4,$N44),AK$7+6&gt;=$M44),"●",""))</f>
        <v/>
      </c>
      <c r="AL44" s="25" t="str">
        <f aca="false">IF($C44="Milestone",IF(AND(AL$7&lt;=$I44,AL$7+6&gt;=$I44),"◆",""),IF(AND($C44="Task",$M44&lt;&gt;"",AL$7&lt;=IF($N44="",$D$4,$N44),AL$7+6&gt;=$M44),"●",""))</f>
        <v/>
      </c>
      <c r="AM44" s="25" t="str">
        <f aca="false">IF($C44="Milestone",IF(AND(AM$7&lt;=$I44,AM$7+6&gt;=$I44),"◆",""),IF(AND($C44="Task",$M44&lt;&gt;"",AM$7&lt;=IF($N44="",$D$4,$N44),AM$7+6&gt;=$M44),"●",""))</f>
        <v/>
      </c>
      <c r="AN44" s="25" t="str">
        <f aca="false">IF($C44="Milestone",IF(AND(AN$7&lt;=$I44,AN$7+6&gt;=$I44),"◆",""),IF(AND($C44="Task",$M44&lt;&gt;"",AN$7&lt;=IF($N44="",$D$4,$N44),AN$7+6&gt;=$M44),"●",""))</f>
        <v/>
      </c>
      <c r="AO44" s="25" t="str">
        <f aca="false">IF($C44="Milestone",IF(AND(AO$7&lt;=$I44,AO$7+6&gt;=$I44),"◆",""),IF(AND($C44="Task",$M44&lt;&gt;"",AO$7&lt;=IF($N44="",$D$4,$N44),AO$7+6&gt;=$M44),"●",""))</f>
        <v/>
      </c>
      <c r="AP44" s="25" t="str">
        <f aca="false">IF($C44="Milestone",IF(AND(AP$7&lt;=$I44,AP$7+6&gt;=$I44),"◆",""),IF(AND($C44="Task",$M44&lt;&gt;"",AP$7&lt;=IF($N44="",$D$4,$N44),AP$7+6&gt;=$M44),"●",""))</f>
        <v/>
      </c>
      <c r="AQ44" s="25" t="str">
        <f aca="false">IF($C44="Milestone",IF(AND(AQ$7&lt;=$I44,AQ$7+6&gt;=$I44),"◆",""),IF(AND($C44="Task",$M44&lt;&gt;"",AQ$7&lt;=IF($N44="",$D$4,$N44),AQ$7+6&gt;=$M44),"●",""))</f>
        <v/>
      </c>
      <c r="AR44" s="25" t="str">
        <f aca="false">IF($C44="Milestone",IF(AND(AR$7&lt;=$I44,AR$7+6&gt;=$I44),"◆",""),IF(AND($C44="Task",$M44&lt;&gt;"",AR$7&lt;=IF($N44="",$D$4,$N44),AR$7+6&gt;=$M44),"●",""))</f>
        <v/>
      </c>
      <c r="AS44" s="25" t="str">
        <f aca="false">IF($C44="Milestone",IF(AND(AS$7&lt;=$I44,AS$7+6&gt;=$I44),"◆",""),IF(AND($C44="Task",$M44&lt;&gt;"",AS$7&lt;=IF($N44="",$D$4,$N44),AS$7+6&gt;=$M44),"●",""))</f>
        <v/>
      </c>
      <c r="AT44" s="25" t="str">
        <f aca="false">IF($C44="Milestone",IF(AND(AT$7&lt;=$I44,AT$7+6&gt;=$I44),"◆",""),IF(AND($C44="Task",$M44&lt;&gt;"",AT$7&lt;=IF($N44="",$D$4,$N44),AT$7+6&gt;=$M44),"●",""))</f>
        <v/>
      </c>
      <c r="AU44" s="25" t="str">
        <f aca="false">IF($C44="Milestone",IF(AND(AU$7&lt;=$I44,AU$7+6&gt;=$I44),"◆",""),IF(AND($C44="Task",$M44&lt;&gt;"",AU$7&lt;=IF($N44="",$D$4,$N44),AU$7+6&gt;=$M44),"●",""))</f>
        <v/>
      </c>
      <c r="AV44" s="25" t="str">
        <f aca="false">IF($C44="Milestone",IF(AND(AV$7&lt;=$I44,AV$7+6&gt;=$I44),"◆",""),IF(AND($C44="Task",$M44&lt;&gt;"",AV$7&lt;=IF($N44="",$D$4,$N44),AV$7+6&gt;=$M44),"●",""))</f>
        <v/>
      </c>
      <c r="AW44" s="25" t="str">
        <f aca="false">IF($C44="Milestone",IF(AND(AW$7&lt;=$I44,AW$7+6&gt;=$I44),"◆",""),IF(AND($C44="Task",$M44&lt;&gt;"",AW$7&lt;=IF($N44="",$D$4,$N44),AW$7+6&gt;=$M44),"●",""))</f>
        <v/>
      </c>
      <c r="AX44" s="25" t="str">
        <f aca="false">IF($C44="Milestone",IF(AND(AX$7&lt;=$I44,AX$7+6&gt;=$I44),"◆",""),IF(AND($C44="Task",$M44&lt;&gt;"",AX$7&lt;=IF($N44="",$D$4,$N44),AX$7+6&gt;=$M44),"●",""))</f>
        <v/>
      </c>
      <c r="AY44" s="25" t="str">
        <f aca="false">IF($C44="Milestone",IF(AND(AY$7&lt;=$I44,AY$7+6&gt;=$I44),"◆",""),IF(AND($C44="Task",$M44&lt;&gt;"",AY$7&lt;=IF($N44="",$D$4,$N44),AY$7+6&gt;=$M44),"●",""))</f>
        <v/>
      </c>
      <c r="AZ44" s="25" t="str">
        <f aca="false">IF($C44="Milestone",IF(AND(AZ$7&lt;=$I44,AZ$7+6&gt;=$I44),"◆",""),IF(AND($C44="Task",$M44&lt;&gt;"",AZ$7&lt;=IF($N44="",$D$4,$N44),AZ$7+6&gt;=$M44),"●",""))</f>
        <v/>
      </c>
    </row>
    <row r="45" customFormat="false" ht="18" hidden="false" customHeight="true" outlineLevel="0" collapsed="false">
      <c r="A45" s="18" t="s">
        <v>121</v>
      </c>
      <c r="B45" s="19" t="s">
        <v>122</v>
      </c>
      <c r="C45" s="18" t="s">
        <v>20</v>
      </c>
      <c r="D45" s="18" t="s">
        <v>123</v>
      </c>
      <c r="E45" s="18" t="s">
        <v>106</v>
      </c>
      <c r="F45" s="18" t="s">
        <v>44</v>
      </c>
      <c r="G45" s="20" t="n">
        <v>46356</v>
      </c>
      <c r="H45" s="20" t="n">
        <v>46360</v>
      </c>
      <c r="I45" s="21" t="n">
        <v>46342</v>
      </c>
      <c r="J45" s="21" t="n">
        <v>46346</v>
      </c>
      <c r="K45" s="18" t="n">
        <f aca="false">IF(C45="Task",ROUND((J45-I45+3)/7,0),"")</f>
        <v>1</v>
      </c>
      <c r="L45" s="18" t="n">
        <v>0</v>
      </c>
      <c r="M45" s="21"/>
      <c r="N45" s="21"/>
      <c r="O45" s="22"/>
      <c r="P45" s="18" t="str">
        <f aca="false">IF(C45="Break","",IF(C45="Milestone",IF(N45&lt;&gt;"","Done",IF($D$4&gt;J45,"Overdue","Upcoming")),IF(N(O45)&gt;=1,"Done",IF($D$4&lt;I45,"Not started",IF($D$4&gt;J45,"Late",IF(N(O45)+0.1&lt;($D$4-I45+1)/(J45-I45+1),"Behind","On track"))))))</f>
        <v>Not started</v>
      </c>
      <c r="Q45" s="23" t="n">
        <f aca="false">IF(C45="Break","",ROUND((IF(N45&lt;&gt;"",N45,J45)-H45)/7,1))</f>
        <v>-2</v>
      </c>
      <c r="R45" s="18" t="str">
        <f aca="false">IF(C45="Milestone",IF(N45&lt;&gt;"","✓",""),IF(AND(C45="Task",N(O45)&gt;=1),"✓",""))</f>
        <v/>
      </c>
      <c r="S45" s="18" t="n">
        <f aca="false">IF(C45="Task",K45*N(O45),"")</f>
        <v>0</v>
      </c>
      <c r="T45" s="24"/>
      <c r="U45" s="25" t="str">
        <f aca="false">IF($C45="Milestone",IF(AND(U$7&lt;=$I45,U$7+6&gt;=$I45),"◆",""),IF(AND($C45="Task",$M45&lt;&gt;"",U$7&lt;=IF($N45="",$D$4,$N45),U$7+6&gt;=$M45),"●",""))</f>
        <v/>
      </c>
      <c r="V45" s="25" t="str">
        <f aca="false">IF($C45="Milestone",IF(AND(V$7&lt;=$I45,V$7+6&gt;=$I45),"◆",""),IF(AND($C45="Task",$M45&lt;&gt;"",V$7&lt;=IF($N45="",$D$4,$N45),V$7+6&gt;=$M45),"●",""))</f>
        <v/>
      </c>
      <c r="W45" s="25" t="str">
        <f aca="false">IF($C45="Milestone",IF(AND(W$7&lt;=$I45,W$7+6&gt;=$I45),"◆",""),IF(AND($C45="Task",$M45&lt;&gt;"",W$7&lt;=IF($N45="",$D$4,$N45),W$7+6&gt;=$M45),"●",""))</f>
        <v/>
      </c>
      <c r="X45" s="25" t="str">
        <f aca="false">IF($C45="Milestone",IF(AND(X$7&lt;=$I45,X$7+6&gt;=$I45),"◆",""),IF(AND($C45="Task",$M45&lt;&gt;"",X$7&lt;=IF($N45="",$D$4,$N45),X$7+6&gt;=$M45),"●",""))</f>
        <v/>
      </c>
      <c r="Y45" s="25" t="str">
        <f aca="false">IF($C45="Milestone",IF(AND(Y$7&lt;=$I45,Y$7+6&gt;=$I45),"◆",""),IF(AND($C45="Task",$M45&lt;&gt;"",Y$7&lt;=IF($N45="",$D$4,$N45),Y$7+6&gt;=$M45),"●",""))</f>
        <v/>
      </c>
      <c r="Z45" s="25" t="str">
        <f aca="false">IF($C45="Milestone",IF(AND(Z$7&lt;=$I45,Z$7+6&gt;=$I45),"◆",""),IF(AND($C45="Task",$M45&lt;&gt;"",Z$7&lt;=IF($N45="",$D$4,$N45),Z$7+6&gt;=$M45),"●",""))</f>
        <v/>
      </c>
      <c r="AA45" s="25" t="str">
        <f aca="false">IF($C45="Milestone",IF(AND(AA$7&lt;=$I45,AA$7+6&gt;=$I45),"◆",""),IF(AND($C45="Task",$M45&lt;&gt;"",AA$7&lt;=IF($N45="",$D$4,$N45),AA$7+6&gt;=$M45),"●",""))</f>
        <v/>
      </c>
      <c r="AB45" s="25" t="str">
        <f aca="false">IF($C45="Milestone",IF(AND(AB$7&lt;=$I45,AB$7+6&gt;=$I45),"◆",""),IF(AND($C45="Task",$M45&lt;&gt;"",AB$7&lt;=IF($N45="",$D$4,$N45),AB$7+6&gt;=$M45),"●",""))</f>
        <v/>
      </c>
      <c r="AC45" s="25" t="str">
        <f aca="false">IF($C45="Milestone",IF(AND(AC$7&lt;=$I45,AC$7+6&gt;=$I45),"◆",""),IF(AND($C45="Task",$M45&lt;&gt;"",AC$7&lt;=IF($N45="",$D$4,$N45),AC$7+6&gt;=$M45),"●",""))</f>
        <v/>
      </c>
      <c r="AD45" s="25" t="str">
        <f aca="false">IF($C45="Milestone",IF(AND(AD$7&lt;=$I45,AD$7+6&gt;=$I45),"◆",""),IF(AND($C45="Task",$M45&lt;&gt;"",AD$7&lt;=IF($N45="",$D$4,$N45),AD$7+6&gt;=$M45),"●",""))</f>
        <v/>
      </c>
      <c r="AE45" s="25" t="str">
        <f aca="false">IF($C45="Milestone",IF(AND(AE$7&lt;=$I45,AE$7+6&gt;=$I45),"◆",""),IF(AND($C45="Task",$M45&lt;&gt;"",AE$7&lt;=IF($N45="",$D$4,$N45),AE$7+6&gt;=$M45),"●",""))</f>
        <v/>
      </c>
      <c r="AF45" s="25" t="str">
        <f aca="false">IF($C45="Milestone",IF(AND(AF$7&lt;=$I45,AF$7+6&gt;=$I45),"◆",""),IF(AND($C45="Task",$M45&lt;&gt;"",AF$7&lt;=IF($N45="",$D$4,$N45),AF$7+6&gt;=$M45),"●",""))</f>
        <v/>
      </c>
      <c r="AG45" s="25" t="str">
        <f aca="false">IF($C45="Milestone",IF(AND(AG$7&lt;=$I45,AG$7+6&gt;=$I45),"◆",""),IF(AND($C45="Task",$M45&lt;&gt;"",AG$7&lt;=IF($N45="",$D$4,$N45),AG$7+6&gt;=$M45),"●",""))</f>
        <v/>
      </c>
      <c r="AH45" s="25" t="str">
        <f aca="false">IF($C45="Milestone",IF(AND(AH$7&lt;=$I45,AH$7+6&gt;=$I45),"◆",""),IF(AND($C45="Task",$M45&lt;&gt;"",AH$7&lt;=IF($N45="",$D$4,$N45),AH$7+6&gt;=$M45),"●",""))</f>
        <v/>
      </c>
      <c r="AI45" s="25" t="str">
        <f aca="false">IF($C45="Milestone",IF(AND(AI$7&lt;=$I45,AI$7+6&gt;=$I45),"◆",""),IF(AND($C45="Task",$M45&lt;&gt;"",AI$7&lt;=IF($N45="",$D$4,$N45),AI$7+6&gt;=$M45),"●",""))</f>
        <v/>
      </c>
      <c r="AJ45" s="25" t="str">
        <f aca="false">IF($C45="Milestone",IF(AND(AJ$7&lt;=$I45,AJ$7+6&gt;=$I45),"◆",""),IF(AND($C45="Task",$M45&lt;&gt;"",AJ$7&lt;=IF($N45="",$D$4,$N45),AJ$7+6&gt;=$M45),"●",""))</f>
        <v/>
      </c>
      <c r="AK45" s="25" t="str">
        <f aca="false">IF($C45="Milestone",IF(AND(AK$7&lt;=$I45,AK$7+6&gt;=$I45),"◆",""),IF(AND($C45="Task",$M45&lt;&gt;"",AK$7&lt;=IF($N45="",$D$4,$N45),AK$7+6&gt;=$M45),"●",""))</f>
        <v/>
      </c>
      <c r="AL45" s="25" t="str">
        <f aca="false">IF($C45="Milestone",IF(AND(AL$7&lt;=$I45,AL$7+6&gt;=$I45),"◆",""),IF(AND($C45="Task",$M45&lt;&gt;"",AL$7&lt;=IF($N45="",$D$4,$N45),AL$7+6&gt;=$M45),"●",""))</f>
        <v/>
      </c>
      <c r="AM45" s="25" t="str">
        <f aca="false">IF($C45="Milestone",IF(AND(AM$7&lt;=$I45,AM$7+6&gt;=$I45),"◆",""),IF(AND($C45="Task",$M45&lt;&gt;"",AM$7&lt;=IF($N45="",$D$4,$N45),AM$7+6&gt;=$M45),"●",""))</f>
        <v/>
      </c>
      <c r="AN45" s="25" t="str">
        <f aca="false">IF($C45="Milestone",IF(AND(AN$7&lt;=$I45,AN$7+6&gt;=$I45),"◆",""),IF(AND($C45="Task",$M45&lt;&gt;"",AN$7&lt;=IF($N45="",$D$4,$N45),AN$7+6&gt;=$M45),"●",""))</f>
        <v/>
      </c>
      <c r="AO45" s="25" t="str">
        <f aca="false">IF($C45="Milestone",IF(AND(AO$7&lt;=$I45,AO$7+6&gt;=$I45),"◆",""),IF(AND($C45="Task",$M45&lt;&gt;"",AO$7&lt;=IF($N45="",$D$4,$N45),AO$7+6&gt;=$M45),"●",""))</f>
        <v/>
      </c>
      <c r="AP45" s="25" t="str">
        <f aca="false">IF($C45="Milestone",IF(AND(AP$7&lt;=$I45,AP$7+6&gt;=$I45),"◆",""),IF(AND($C45="Task",$M45&lt;&gt;"",AP$7&lt;=IF($N45="",$D$4,$N45),AP$7+6&gt;=$M45),"●",""))</f>
        <v/>
      </c>
      <c r="AQ45" s="25" t="str">
        <f aca="false">IF($C45="Milestone",IF(AND(AQ$7&lt;=$I45,AQ$7+6&gt;=$I45),"◆",""),IF(AND($C45="Task",$M45&lt;&gt;"",AQ$7&lt;=IF($N45="",$D$4,$N45),AQ$7+6&gt;=$M45),"●",""))</f>
        <v/>
      </c>
      <c r="AR45" s="25" t="str">
        <f aca="false">IF($C45="Milestone",IF(AND(AR$7&lt;=$I45,AR$7+6&gt;=$I45),"◆",""),IF(AND($C45="Task",$M45&lt;&gt;"",AR$7&lt;=IF($N45="",$D$4,$N45),AR$7+6&gt;=$M45),"●",""))</f>
        <v/>
      </c>
      <c r="AS45" s="25" t="str">
        <f aca="false">IF($C45="Milestone",IF(AND(AS$7&lt;=$I45,AS$7+6&gt;=$I45),"◆",""),IF(AND($C45="Task",$M45&lt;&gt;"",AS$7&lt;=IF($N45="",$D$4,$N45),AS$7+6&gt;=$M45),"●",""))</f>
        <v/>
      </c>
      <c r="AT45" s="25" t="str">
        <f aca="false">IF($C45="Milestone",IF(AND(AT$7&lt;=$I45,AT$7+6&gt;=$I45),"◆",""),IF(AND($C45="Task",$M45&lt;&gt;"",AT$7&lt;=IF($N45="",$D$4,$N45),AT$7+6&gt;=$M45),"●",""))</f>
        <v/>
      </c>
      <c r="AU45" s="25" t="str">
        <f aca="false">IF($C45="Milestone",IF(AND(AU$7&lt;=$I45,AU$7+6&gt;=$I45),"◆",""),IF(AND($C45="Task",$M45&lt;&gt;"",AU$7&lt;=IF($N45="",$D$4,$N45),AU$7+6&gt;=$M45),"●",""))</f>
        <v/>
      </c>
      <c r="AV45" s="25" t="str">
        <f aca="false">IF($C45="Milestone",IF(AND(AV$7&lt;=$I45,AV$7+6&gt;=$I45),"◆",""),IF(AND($C45="Task",$M45&lt;&gt;"",AV$7&lt;=IF($N45="",$D$4,$N45),AV$7+6&gt;=$M45),"●",""))</f>
        <v/>
      </c>
      <c r="AW45" s="25" t="str">
        <f aca="false">IF($C45="Milestone",IF(AND(AW$7&lt;=$I45,AW$7+6&gt;=$I45),"◆",""),IF(AND($C45="Task",$M45&lt;&gt;"",AW$7&lt;=IF($N45="",$D$4,$N45),AW$7+6&gt;=$M45),"●",""))</f>
        <v/>
      </c>
      <c r="AX45" s="25" t="str">
        <f aca="false">IF($C45="Milestone",IF(AND(AX$7&lt;=$I45,AX$7+6&gt;=$I45),"◆",""),IF(AND($C45="Task",$M45&lt;&gt;"",AX$7&lt;=IF($N45="",$D$4,$N45),AX$7+6&gt;=$M45),"●",""))</f>
        <v/>
      </c>
      <c r="AY45" s="25" t="str">
        <f aca="false">IF($C45="Milestone",IF(AND(AY$7&lt;=$I45,AY$7+6&gt;=$I45),"◆",""),IF(AND($C45="Task",$M45&lt;&gt;"",AY$7&lt;=IF($N45="",$D$4,$N45),AY$7+6&gt;=$M45),"●",""))</f>
        <v/>
      </c>
      <c r="AZ45" s="25" t="str">
        <f aca="false">IF($C45="Milestone",IF(AND(AZ$7&lt;=$I45,AZ$7+6&gt;=$I45),"◆",""),IF(AND($C45="Task",$M45&lt;&gt;"",AZ$7&lt;=IF($N45="",$D$4,$N45),AZ$7+6&gt;=$M45),"●",""))</f>
        <v/>
      </c>
    </row>
    <row r="46" customFormat="false" ht="18" hidden="false" customHeight="true" outlineLevel="0" collapsed="false">
      <c r="A46" s="18" t="s">
        <v>124</v>
      </c>
      <c r="B46" s="19" t="s">
        <v>125</v>
      </c>
      <c r="C46" s="18" t="s">
        <v>20</v>
      </c>
      <c r="D46" s="18" t="s">
        <v>123</v>
      </c>
      <c r="E46" s="18" t="s">
        <v>121</v>
      </c>
      <c r="F46" s="18" t="s">
        <v>44</v>
      </c>
      <c r="G46" s="20" t="n">
        <v>46363</v>
      </c>
      <c r="H46" s="20" t="n">
        <v>46367</v>
      </c>
      <c r="I46" s="21" t="n">
        <v>46349</v>
      </c>
      <c r="J46" s="21" t="n">
        <v>46353</v>
      </c>
      <c r="K46" s="18" t="n">
        <f aca="false">IF(C46="Task",ROUND((J46-I46+3)/7,0),"")</f>
        <v>1</v>
      </c>
      <c r="L46" s="18" t="n">
        <v>0</v>
      </c>
      <c r="M46" s="21"/>
      <c r="N46" s="21"/>
      <c r="O46" s="22"/>
      <c r="P46" s="18" t="str">
        <f aca="false">IF(C46="Break","",IF(C46="Milestone",IF(N46&lt;&gt;"","Done",IF($D$4&gt;J46,"Overdue","Upcoming")),IF(N(O46)&gt;=1,"Done",IF($D$4&lt;I46,"Not started",IF($D$4&gt;J46,"Late",IF(N(O46)+0.1&lt;($D$4-I46+1)/(J46-I46+1),"Behind","On track"))))))</f>
        <v>Not started</v>
      </c>
      <c r="Q46" s="23" t="n">
        <f aca="false">IF(C46="Break","",ROUND((IF(N46&lt;&gt;"",N46,J46)-H46)/7,1))</f>
        <v>-2</v>
      </c>
      <c r="R46" s="18" t="str">
        <f aca="false">IF(C46="Milestone",IF(N46&lt;&gt;"","✓",""),IF(AND(C46="Task",N(O46)&gt;=1),"✓",""))</f>
        <v/>
      </c>
      <c r="S46" s="18" t="n">
        <f aca="false">IF(C46="Task",K46*N(O46),"")</f>
        <v>0</v>
      </c>
      <c r="T46" s="24"/>
      <c r="U46" s="25" t="str">
        <f aca="false">IF($C46="Milestone",IF(AND(U$7&lt;=$I46,U$7+6&gt;=$I46),"◆",""),IF(AND($C46="Task",$M46&lt;&gt;"",U$7&lt;=IF($N46="",$D$4,$N46),U$7+6&gt;=$M46),"●",""))</f>
        <v/>
      </c>
      <c r="V46" s="25" t="str">
        <f aca="false">IF($C46="Milestone",IF(AND(V$7&lt;=$I46,V$7+6&gt;=$I46),"◆",""),IF(AND($C46="Task",$M46&lt;&gt;"",V$7&lt;=IF($N46="",$D$4,$N46),V$7+6&gt;=$M46),"●",""))</f>
        <v/>
      </c>
      <c r="W46" s="25" t="str">
        <f aca="false">IF($C46="Milestone",IF(AND(W$7&lt;=$I46,W$7+6&gt;=$I46),"◆",""),IF(AND($C46="Task",$M46&lt;&gt;"",W$7&lt;=IF($N46="",$D$4,$N46),W$7+6&gt;=$M46),"●",""))</f>
        <v/>
      </c>
      <c r="X46" s="25" t="str">
        <f aca="false">IF($C46="Milestone",IF(AND(X$7&lt;=$I46,X$7+6&gt;=$I46),"◆",""),IF(AND($C46="Task",$M46&lt;&gt;"",X$7&lt;=IF($N46="",$D$4,$N46),X$7+6&gt;=$M46),"●",""))</f>
        <v/>
      </c>
      <c r="Y46" s="25" t="str">
        <f aca="false">IF($C46="Milestone",IF(AND(Y$7&lt;=$I46,Y$7+6&gt;=$I46),"◆",""),IF(AND($C46="Task",$M46&lt;&gt;"",Y$7&lt;=IF($N46="",$D$4,$N46),Y$7+6&gt;=$M46),"●",""))</f>
        <v/>
      </c>
      <c r="Z46" s="25" t="str">
        <f aca="false">IF($C46="Milestone",IF(AND(Z$7&lt;=$I46,Z$7+6&gt;=$I46),"◆",""),IF(AND($C46="Task",$M46&lt;&gt;"",Z$7&lt;=IF($N46="",$D$4,$N46),Z$7+6&gt;=$M46),"●",""))</f>
        <v/>
      </c>
      <c r="AA46" s="25" t="str">
        <f aca="false">IF($C46="Milestone",IF(AND(AA$7&lt;=$I46,AA$7+6&gt;=$I46),"◆",""),IF(AND($C46="Task",$M46&lt;&gt;"",AA$7&lt;=IF($N46="",$D$4,$N46),AA$7+6&gt;=$M46),"●",""))</f>
        <v/>
      </c>
      <c r="AB46" s="25" t="str">
        <f aca="false">IF($C46="Milestone",IF(AND(AB$7&lt;=$I46,AB$7+6&gt;=$I46),"◆",""),IF(AND($C46="Task",$M46&lt;&gt;"",AB$7&lt;=IF($N46="",$D$4,$N46),AB$7+6&gt;=$M46),"●",""))</f>
        <v/>
      </c>
      <c r="AC46" s="25" t="str">
        <f aca="false">IF($C46="Milestone",IF(AND(AC$7&lt;=$I46,AC$7+6&gt;=$I46),"◆",""),IF(AND($C46="Task",$M46&lt;&gt;"",AC$7&lt;=IF($N46="",$D$4,$N46),AC$7+6&gt;=$M46),"●",""))</f>
        <v/>
      </c>
      <c r="AD46" s="25" t="str">
        <f aca="false">IF($C46="Milestone",IF(AND(AD$7&lt;=$I46,AD$7+6&gt;=$I46),"◆",""),IF(AND($C46="Task",$M46&lt;&gt;"",AD$7&lt;=IF($N46="",$D$4,$N46),AD$7+6&gt;=$M46),"●",""))</f>
        <v/>
      </c>
      <c r="AE46" s="25" t="str">
        <f aca="false">IF($C46="Milestone",IF(AND(AE$7&lt;=$I46,AE$7+6&gt;=$I46),"◆",""),IF(AND($C46="Task",$M46&lt;&gt;"",AE$7&lt;=IF($N46="",$D$4,$N46),AE$7+6&gt;=$M46),"●",""))</f>
        <v/>
      </c>
      <c r="AF46" s="25" t="str">
        <f aca="false">IF($C46="Milestone",IF(AND(AF$7&lt;=$I46,AF$7+6&gt;=$I46),"◆",""),IF(AND($C46="Task",$M46&lt;&gt;"",AF$7&lt;=IF($N46="",$D$4,$N46),AF$7+6&gt;=$M46),"●",""))</f>
        <v/>
      </c>
      <c r="AG46" s="25" t="str">
        <f aca="false">IF($C46="Milestone",IF(AND(AG$7&lt;=$I46,AG$7+6&gt;=$I46),"◆",""),IF(AND($C46="Task",$M46&lt;&gt;"",AG$7&lt;=IF($N46="",$D$4,$N46),AG$7+6&gt;=$M46),"●",""))</f>
        <v/>
      </c>
      <c r="AH46" s="25" t="str">
        <f aca="false">IF($C46="Milestone",IF(AND(AH$7&lt;=$I46,AH$7+6&gt;=$I46),"◆",""),IF(AND($C46="Task",$M46&lt;&gt;"",AH$7&lt;=IF($N46="",$D$4,$N46),AH$7+6&gt;=$M46),"●",""))</f>
        <v/>
      </c>
      <c r="AI46" s="25" t="str">
        <f aca="false">IF($C46="Milestone",IF(AND(AI$7&lt;=$I46,AI$7+6&gt;=$I46),"◆",""),IF(AND($C46="Task",$M46&lt;&gt;"",AI$7&lt;=IF($N46="",$D$4,$N46),AI$7+6&gt;=$M46),"●",""))</f>
        <v/>
      </c>
      <c r="AJ46" s="25" t="str">
        <f aca="false">IF($C46="Milestone",IF(AND(AJ$7&lt;=$I46,AJ$7+6&gt;=$I46),"◆",""),IF(AND($C46="Task",$M46&lt;&gt;"",AJ$7&lt;=IF($N46="",$D$4,$N46),AJ$7+6&gt;=$M46),"●",""))</f>
        <v/>
      </c>
      <c r="AK46" s="25" t="str">
        <f aca="false">IF($C46="Milestone",IF(AND(AK$7&lt;=$I46,AK$7+6&gt;=$I46),"◆",""),IF(AND($C46="Task",$M46&lt;&gt;"",AK$7&lt;=IF($N46="",$D$4,$N46),AK$7+6&gt;=$M46),"●",""))</f>
        <v/>
      </c>
      <c r="AL46" s="25" t="str">
        <f aca="false">IF($C46="Milestone",IF(AND(AL$7&lt;=$I46,AL$7+6&gt;=$I46),"◆",""),IF(AND($C46="Task",$M46&lt;&gt;"",AL$7&lt;=IF($N46="",$D$4,$N46),AL$7+6&gt;=$M46),"●",""))</f>
        <v/>
      </c>
      <c r="AM46" s="25" t="str">
        <f aca="false">IF($C46="Milestone",IF(AND(AM$7&lt;=$I46,AM$7+6&gt;=$I46),"◆",""),IF(AND($C46="Task",$M46&lt;&gt;"",AM$7&lt;=IF($N46="",$D$4,$N46),AM$7+6&gt;=$M46),"●",""))</f>
        <v/>
      </c>
      <c r="AN46" s="25" t="str">
        <f aca="false">IF($C46="Milestone",IF(AND(AN$7&lt;=$I46,AN$7+6&gt;=$I46),"◆",""),IF(AND($C46="Task",$M46&lt;&gt;"",AN$7&lt;=IF($N46="",$D$4,$N46),AN$7+6&gt;=$M46),"●",""))</f>
        <v/>
      </c>
      <c r="AO46" s="25" t="str">
        <f aca="false">IF($C46="Milestone",IF(AND(AO$7&lt;=$I46,AO$7+6&gt;=$I46),"◆",""),IF(AND($C46="Task",$M46&lt;&gt;"",AO$7&lt;=IF($N46="",$D$4,$N46),AO$7+6&gt;=$M46),"●",""))</f>
        <v/>
      </c>
      <c r="AP46" s="25" t="str">
        <f aca="false">IF($C46="Milestone",IF(AND(AP$7&lt;=$I46,AP$7+6&gt;=$I46),"◆",""),IF(AND($C46="Task",$M46&lt;&gt;"",AP$7&lt;=IF($N46="",$D$4,$N46),AP$7+6&gt;=$M46),"●",""))</f>
        <v/>
      </c>
      <c r="AQ46" s="25" t="str">
        <f aca="false">IF($C46="Milestone",IF(AND(AQ$7&lt;=$I46,AQ$7+6&gt;=$I46),"◆",""),IF(AND($C46="Task",$M46&lt;&gt;"",AQ$7&lt;=IF($N46="",$D$4,$N46),AQ$7+6&gt;=$M46),"●",""))</f>
        <v/>
      </c>
      <c r="AR46" s="25" t="str">
        <f aca="false">IF($C46="Milestone",IF(AND(AR$7&lt;=$I46,AR$7+6&gt;=$I46),"◆",""),IF(AND($C46="Task",$M46&lt;&gt;"",AR$7&lt;=IF($N46="",$D$4,$N46),AR$7+6&gt;=$M46),"●",""))</f>
        <v/>
      </c>
      <c r="AS46" s="25" t="str">
        <f aca="false">IF($C46="Milestone",IF(AND(AS$7&lt;=$I46,AS$7+6&gt;=$I46),"◆",""),IF(AND($C46="Task",$M46&lt;&gt;"",AS$7&lt;=IF($N46="",$D$4,$N46),AS$7+6&gt;=$M46),"●",""))</f>
        <v/>
      </c>
      <c r="AT46" s="25" t="str">
        <f aca="false">IF($C46="Milestone",IF(AND(AT$7&lt;=$I46,AT$7+6&gt;=$I46),"◆",""),IF(AND($C46="Task",$M46&lt;&gt;"",AT$7&lt;=IF($N46="",$D$4,$N46),AT$7+6&gt;=$M46),"●",""))</f>
        <v/>
      </c>
      <c r="AU46" s="25" t="str">
        <f aca="false">IF($C46="Milestone",IF(AND(AU$7&lt;=$I46,AU$7+6&gt;=$I46),"◆",""),IF(AND($C46="Task",$M46&lt;&gt;"",AU$7&lt;=IF($N46="",$D$4,$N46),AU$7+6&gt;=$M46),"●",""))</f>
        <v/>
      </c>
      <c r="AV46" s="25" t="str">
        <f aca="false">IF($C46="Milestone",IF(AND(AV$7&lt;=$I46,AV$7+6&gt;=$I46),"◆",""),IF(AND($C46="Task",$M46&lt;&gt;"",AV$7&lt;=IF($N46="",$D$4,$N46),AV$7+6&gt;=$M46),"●",""))</f>
        <v/>
      </c>
      <c r="AW46" s="25" t="str">
        <f aca="false">IF($C46="Milestone",IF(AND(AW$7&lt;=$I46,AW$7+6&gt;=$I46),"◆",""),IF(AND($C46="Task",$M46&lt;&gt;"",AW$7&lt;=IF($N46="",$D$4,$N46),AW$7+6&gt;=$M46),"●",""))</f>
        <v/>
      </c>
      <c r="AX46" s="25" t="str">
        <f aca="false">IF($C46="Milestone",IF(AND(AX$7&lt;=$I46,AX$7+6&gt;=$I46),"◆",""),IF(AND($C46="Task",$M46&lt;&gt;"",AX$7&lt;=IF($N46="",$D$4,$N46),AX$7+6&gt;=$M46),"●",""))</f>
        <v/>
      </c>
      <c r="AY46" s="25" t="str">
        <f aca="false">IF($C46="Milestone",IF(AND(AY$7&lt;=$I46,AY$7+6&gt;=$I46),"◆",""),IF(AND($C46="Task",$M46&lt;&gt;"",AY$7&lt;=IF($N46="",$D$4,$N46),AY$7+6&gt;=$M46),"●",""))</f>
        <v/>
      </c>
      <c r="AZ46" s="25" t="str">
        <f aca="false">IF($C46="Milestone",IF(AND(AZ$7&lt;=$I46,AZ$7+6&gt;=$I46),"◆",""),IF(AND($C46="Task",$M46&lt;&gt;"",AZ$7&lt;=IF($N46="",$D$4,$N46),AZ$7+6&gt;=$M46),"●",""))</f>
        <v/>
      </c>
    </row>
    <row r="47" customFormat="false" ht="18" hidden="false" customHeight="true" outlineLevel="0" collapsed="false">
      <c r="A47" s="18" t="s">
        <v>126</v>
      </c>
      <c r="B47" s="19" t="s">
        <v>127</v>
      </c>
      <c r="C47" s="18" t="s">
        <v>20</v>
      </c>
      <c r="D47" s="18" t="s">
        <v>123</v>
      </c>
      <c r="E47" s="18" t="s">
        <v>124</v>
      </c>
      <c r="F47" s="18" t="s">
        <v>44</v>
      </c>
      <c r="G47" s="20" t="n">
        <v>46370</v>
      </c>
      <c r="H47" s="20" t="n">
        <v>46374</v>
      </c>
      <c r="I47" s="21" t="n">
        <v>46349</v>
      </c>
      <c r="J47" s="21" t="n">
        <v>46360</v>
      </c>
      <c r="K47" s="18" t="n">
        <f aca="false">IF(C47="Task",ROUND((J47-I47+3)/7,0),"")</f>
        <v>2</v>
      </c>
      <c r="L47" s="18" t="n">
        <v>0</v>
      </c>
      <c r="M47" s="21"/>
      <c r="N47" s="21"/>
      <c r="O47" s="22"/>
      <c r="P47" s="18" t="str">
        <f aca="false">IF(C47="Break","",IF(C47="Milestone",IF(N47&lt;&gt;"","Done",IF($D$4&gt;J47,"Overdue","Upcoming")),IF(N(O47)&gt;=1,"Done",IF($D$4&lt;I47,"Not started",IF($D$4&gt;J47,"Late",IF(N(O47)+0.1&lt;($D$4-I47+1)/(J47-I47+1),"Behind","On track"))))))</f>
        <v>Not started</v>
      </c>
      <c r="Q47" s="23" t="n">
        <f aca="false">IF(C47="Break","",ROUND((IF(N47&lt;&gt;"",N47,J47)-H47)/7,1))</f>
        <v>-2</v>
      </c>
      <c r="R47" s="18" t="str">
        <f aca="false">IF(C47="Milestone",IF(N47&lt;&gt;"","✓",""),IF(AND(C47="Task",N(O47)&gt;=1),"✓",""))</f>
        <v/>
      </c>
      <c r="S47" s="18" t="n">
        <f aca="false">IF(C47="Task",K47*N(O47),"")</f>
        <v>0</v>
      </c>
      <c r="T47" s="24"/>
      <c r="U47" s="25" t="str">
        <f aca="false">IF($C47="Milestone",IF(AND(U$7&lt;=$I47,U$7+6&gt;=$I47),"◆",""),IF(AND($C47="Task",$M47&lt;&gt;"",U$7&lt;=IF($N47="",$D$4,$N47),U$7+6&gt;=$M47),"●",""))</f>
        <v/>
      </c>
      <c r="V47" s="25" t="str">
        <f aca="false">IF($C47="Milestone",IF(AND(V$7&lt;=$I47,V$7+6&gt;=$I47),"◆",""),IF(AND($C47="Task",$M47&lt;&gt;"",V$7&lt;=IF($N47="",$D$4,$N47),V$7+6&gt;=$M47),"●",""))</f>
        <v/>
      </c>
      <c r="W47" s="25" t="str">
        <f aca="false">IF($C47="Milestone",IF(AND(W$7&lt;=$I47,W$7+6&gt;=$I47),"◆",""),IF(AND($C47="Task",$M47&lt;&gt;"",W$7&lt;=IF($N47="",$D$4,$N47),W$7+6&gt;=$M47),"●",""))</f>
        <v/>
      </c>
      <c r="X47" s="25" t="str">
        <f aca="false">IF($C47="Milestone",IF(AND(X$7&lt;=$I47,X$7+6&gt;=$I47),"◆",""),IF(AND($C47="Task",$M47&lt;&gt;"",X$7&lt;=IF($N47="",$D$4,$N47),X$7+6&gt;=$M47),"●",""))</f>
        <v/>
      </c>
      <c r="Y47" s="25" t="str">
        <f aca="false">IF($C47="Milestone",IF(AND(Y$7&lt;=$I47,Y$7+6&gt;=$I47),"◆",""),IF(AND($C47="Task",$M47&lt;&gt;"",Y$7&lt;=IF($N47="",$D$4,$N47),Y$7+6&gt;=$M47),"●",""))</f>
        <v/>
      </c>
      <c r="Z47" s="25" t="str">
        <f aca="false">IF($C47="Milestone",IF(AND(Z$7&lt;=$I47,Z$7+6&gt;=$I47),"◆",""),IF(AND($C47="Task",$M47&lt;&gt;"",Z$7&lt;=IF($N47="",$D$4,$N47),Z$7+6&gt;=$M47),"●",""))</f>
        <v/>
      </c>
      <c r="AA47" s="25" t="str">
        <f aca="false">IF($C47="Milestone",IF(AND(AA$7&lt;=$I47,AA$7+6&gt;=$I47),"◆",""),IF(AND($C47="Task",$M47&lt;&gt;"",AA$7&lt;=IF($N47="",$D$4,$N47),AA$7+6&gt;=$M47),"●",""))</f>
        <v/>
      </c>
      <c r="AB47" s="25" t="str">
        <f aca="false">IF($C47="Milestone",IF(AND(AB$7&lt;=$I47,AB$7+6&gt;=$I47),"◆",""),IF(AND($C47="Task",$M47&lt;&gt;"",AB$7&lt;=IF($N47="",$D$4,$N47),AB$7+6&gt;=$M47),"●",""))</f>
        <v/>
      </c>
      <c r="AC47" s="25" t="str">
        <f aca="false">IF($C47="Milestone",IF(AND(AC$7&lt;=$I47,AC$7+6&gt;=$I47),"◆",""),IF(AND($C47="Task",$M47&lt;&gt;"",AC$7&lt;=IF($N47="",$D$4,$N47),AC$7+6&gt;=$M47),"●",""))</f>
        <v/>
      </c>
      <c r="AD47" s="25" t="str">
        <f aca="false">IF($C47="Milestone",IF(AND(AD$7&lt;=$I47,AD$7+6&gt;=$I47),"◆",""),IF(AND($C47="Task",$M47&lt;&gt;"",AD$7&lt;=IF($N47="",$D$4,$N47),AD$7+6&gt;=$M47),"●",""))</f>
        <v/>
      </c>
      <c r="AE47" s="25" t="str">
        <f aca="false">IF($C47="Milestone",IF(AND(AE$7&lt;=$I47,AE$7+6&gt;=$I47),"◆",""),IF(AND($C47="Task",$M47&lt;&gt;"",AE$7&lt;=IF($N47="",$D$4,$N47),AE$7+6&gt;=$M47),"●",""))</f>
        <v/>
      </c>
      <c r="AF47" s="25" t="str">
        <f aca="false">IF($C47="Milestone",IF(AND(AF$7&lt;=$I47,AF$7+6&gt;=$I47),"◆",""),IF(AND($C47="Task",$M47&lt;&gt;"",AF$7&lt;=IF($N47="",$D$4,$N47),AF$7+6&gt;=$M47),"●",""))</f>
        <v/>
      </c>
      <c r="AG47" s="25" t="str">
        <f aca="false">IF($C47="Milestone",IF(AND(AG$7&lt;=$I47,AG$7+6&gt;=$I47),"◆",""),IF(AND($C47="Task",$M47&lt;&gt;"",AG$7&lt;=IF($N47="",$D$4,$N47),AG$7+6&gt;=$M47),"●",""))</f>
        <v/>
      </c>
      <c r="AH47" s="25" t="str">
        <f aca="false">IF($C47="Milestone",IF(AND(AH$7&lt;=$I47,AH$7+6&gt;=$I47),"◆",""),IF(AND($C47="Task",$M47&lt;&gt;"",AH$7&lt;=IF($N47="",$D$4,$N47),AH$7+6&gt;=$M47),"●",""))</f>
        <v/>
      </c>
      <c r="AI47" s="25" t="str">
        <f aca="false">IF($C47="Milestone",IF(AND(AI$7&lt;=$I47,AI$7+6&gt;=$I47),"◆",""),IF(AND($C47="Task",$M47&lt;&gt;"",AI$7&lt;=IF($N47="",$D$4,$N47),AI$7+6&gt;=$M47),"●",""))</f>
        <v/>
      </c>
      <c r="AJ47" s="25" t="str">
        <f aca="false">IF($C47="Milestone",IF(AND(AJ$7&lt;=$I47,AJ$7+6&gt;=$I47),"◆",""),IF(AND($C47="Task",$M47&lt;&gt;"",AJ$7&lt;=IF($N47="",$D$4,$N47),AJ$7+6&gt;=$M47),"●",""))</f>
        <v/>
      </c>
      <c r="AK47" s="25" t="str">
        <f aca="false">IF($C47="Milestone",IF(AND(AK$7&lt;=$I47,AK$7+6&gt;=$I47),"◆",""),IF(AND($C47="Task",$M47&lt;&gt;"",AK$7&lt;=IF($N47="",$D$4,$N47),AK$7+6&gt;=$M47),"●",""))</f>
        <v/>
      </c>
      <c r="AL47" s="25" t="str">
        <f aca="false">IF($C47="Milestone",IF(AND(AL$7&lt;=$I47,AL$7+6&gt;=$I47),"◆",""),IF(AND($C47="Task",$M47&lt;&gt;"",AL$7&lt;=IF($N47="",$D$4,$N47),AL$7+6&gt;=$M47),"●",""))</f>
        <v/>
      </c>
      <c r="AM47" s="25" t="str">
        <f aca="false">IF($C47="Milestone",IF(AND(AM$7&lt;=$I47,AM$7+6&gt;=$I47),"◆",""),IF(AND($C47="Task",$M47&lt;&gt;"",AM$7&lt;=IF($N47="",$D$4,$N47),AM$7+6&gt;=$M47),"●",""))</f>
        <v/>
      </c>
      <c r="AN47" s="25" t="str">
        <f aca="false">IF($C47="Milestone",IF(AND(AN$7&lt;=$I47,AN$7+6&gt;=$I47),"◆",""),IF(AND($C47="Task",$M47&lt;&gt;"",AN$7&lt;=IF($N47="",$D$4,$N47),AN$7+6&gt;=$M47),"●",""))</f>
        <v/>
      </c>
      <c r="AO47" s="25" t="str">
        <f aca="false">IF($C47="Milestone",IF(AND(AO$7&lt;=$I47,AO$7+6&gt;=$I47),"◆",""),IF(AND($C47="Task",$M47&lt;&gt;"",AO$7&lt;=IF($N47="",$D$4,$N47),AO$7+6&gt;=$M47),"●",""))</f>
        <v/>
      </c>
      <c r="AP47" s="25" t="str">
        <f aca="false">IF($C47="Milestone",IF(AND(AP$7&lt;=$I47,AP$7+6&gt;=$I47),"◆",""),IF(AND($C47="Task",$M47&lt;&gt;"",AP$7&lt;=IF($N47="",$D$4,$N47),AP$7+6&gt;=$M47),"●",""))</f>
        <v/>
      </c>
      <c r="AQ47" s="25" t="str">
        <f aca="false">IF($C47="Milestone",IF(AND(AQ$7&lt;=$I47,AQ$7+6&gt;=$I47),"◆",""),IF(AND($C47="Task",$M47&lt;&gt;"",AQ$7&lt;=IF($N47="",$D$4,$N47),AQ$7+6&gt;=$M47),"●",""))</f>
        <v/>
      </c>
      <c r="AR47" s="25" t="str">
        <f aca="false">IF($C47="Milestone",IF(AND(AR$7&lt;=$I47,AR$7+6&gt;=$I47),"◆",""),IF(AND($C47="Task",$M47&lt;&gt;"",AR$7&lt;=IF($N47="",$D$4,$N47),AR$7+6&gt;=$M47),"●",""))</f>
        <v/>
      </c>
      <c r="AS47" s="25" t="str">
        <f aca="false">IF($C47="Milestone",IF(AND(AS$7&lt;=$I47,AS$7+6&gt;=$I47),"◆",""),IF(AND($C47="Task",$M47&lt;&gt;"",AS$7&lt;=IF($N47="",$D$4,$N47),AS$7+6&gt;=$M47),"●",""))</f>
        <v/>
      </c>
      <c r="AT47" s="25" t="str">
        <f aca="false">IF($C47="Milestone",IF(AND(AT$7&lt;=$I47,AT$7+6&gt;=$I47),"◆",""),IF(AND($C47="Task",$M47&lt;&gt;"",AT$7&lt;=IF($N47="",$D$4,$N47),AT$7+6&gt;=$M47),"●",""))</f>
        <v/>
      </c>
      <c r="AU47" s="25" t="str">
        <f aca="false">IF($C47="Milestone",IF(AND(AU$7&lt;=$I47,AU$7+6&gt;=$I47),"◆",""),IF(AND($C47="Task",$M47&lt;&gt;"",AU$7&lt;=IF($N47="",$D$4,$N47),AU$7+6&gt;=$M47),"●",""))</f>
        <v/>
      </c>
      <c r="AV47" s="25" t="str">
        <f aca="false">IF($C47="Milestone",IF(AND(AV$7&lt;=$I47,AV$7+6&gt;=$I47),"◆",""),IF(AND($C47="Task",$M47&lt;&gt;"",AV$7&lt;=IF($N47="",$D$4,$N47),AV$7+6&gt;=$M47),"●",""))</f>
        <v/>
      </c>
      <c r="AW47" s="25" t="str">
        <f aca="false">IF($C47="Milestone",IF(AND(AW$7&lt;=$I47,AW$7+6&gt;=$I47),"◆",""),IF(AND($C47="Task",$M47&lt;&gt;"",AW$7&lt;=IF($N47="",$D$4,$N47),AW$7+6&gt;=$M47),"●",""))</f>
        <v/>
      </c>
      <c r="AX47" s="25" t="str">
        <f aca="false">IF($C47="Milestone",IF(AND(AX$7&lt;=$I47,AX$7+6&gt;=$I47),"◆",""),IF(AND($C47="Task",$M47&lt;&gt;"",AX$7&lt;=IF($N47="",$D$4,$N47),AX$7+6&gt;=$M47),"●",""))</f>
        <v/>
      </c>
      <c r="AY47" s="25" t="str">
        <f aca="false">IF($C47="Milestone",IF(AND(AY$7&lt;=$I47,AY$7+6&gt;=$I47),"◆",""),IF(AND($C47="Task",$M47&lt;&gt;"",AY$7&lt;=IF($N47="",$D$4,$N47),AY$7+6&gt;=$M47),"●",""))</f>
        <v/>
      </c>
      <c r="AZ47" s="25" t="str">
        <f aca="false">IF($C47="Milestone",IF(AND(AZ$7&lt;=$I47,AZ$7+6&gt;=$I47),"◆",""),IF(AND($C47="Task",$M47&lt;&gt;"",AZ$7&lt;=IF($N47="",$D$4,$N47),AZ$7+6&gt;=$M47),"●",""))</f>
        <v/>
      </c>
    </row>
    <row r="48" customFormat="false" ht="18" hidden="false" customHeight="true" outlineLevel="0" collapsed="false">
      <c r="A48" s="18" t="s">
        <v>128</v>
      </c>
      <c r="B48" s="19" t="s">
        <v>129</v>
      </c>
      <c r="C48" s="18" t="s">
        <v>43</v>
      </c>
      <c r="D48" s="18" t="s">
        <v>123</v>
      </c>
      <c r="E48" s="18" t="s">
        <v>126</v>
      </c>
      <c r="F48" s="18" t="s">
        <v>44</v>
      </c>
      <c r="G48" s="20" t="n">
        <v>46374</v>
      </c>
      <c r="H48" s="20" t="n">
        <v>46374</v>
      </c>
      <c r="I48" s="21" t="n">
        <v>46360</v>
      </c>
      <c r="J48" s="21" t="n">
        <v>46360</v>
      </c>
      <c r="K48" s="18" t="str">
        <f aca="false">IF(C48="Task",ROUND((J48-I48+3)/7,0),"")</f>
        <v/>
      </c>
      <c r="L48" s="18"/>
      <c r="M48" s="21"/>
      <c r="N48" s="21"/>
      <c r="O48" s="22"/>
      <c r="P48" s="18" t="str">
        <f aca="false">IF(C48="Break","",IF(C48="Milestone",IF(N48&lt;&gt;"","Done",IF($D$4&gt;J48,"Overdue","Upcoming")),IF(N(O48)&gt;=1,"Done",IF($D$4&lt;I48,"Not started",IF($D$4&gt;J48,"Late",IF(N(O48)+0.1&lt;($D$4-I48+1)/(J48-I48+1),"Behind","On track"))))))</f>
        <v>Upcoming</v>
      </c>
      <c r="Q48" s="23" t="n">
        <f aca="false">IF(C48="Break","",ROUND((IF(N48&lt;&gt;"",N48,J48)-H48)/7,1))</f>
        <v>-2</v>
      </c>
      <c r="R48" s="18" t="str">
        <f aca="false">IF(C48="Milestone",IF(N48&lt;&gt;"","✓",""),IF(AND(C48="Task",N(O48)&gt;=1),"✓",""))</f>
        <v/>
      </c>
      <c r="S48" s="18" t="str">
        <f aca="false">IF(C48="Task",K48*N(O48),"")</f>
        <v/>
      </c>
      <c r="T48" s="24"/>
      <c r="U48" s="25" t="str">
        <f aca="false">IF($C48="Milestone",IF(AND(U$7&lt;=$I48,U$7+6&gt;=$I48),"◆",""),IF(AND($C48="Task",$M48&lt;&gt;"",U$7&lt;=IF($N48="",$D$4,$N48),U$7+6&gt;=$M48),"●",""))</f>
        <v/>
      </c>
      <c r="V48" s="25" t="str">
        <f aca="false">IF($C48="Milestone",IF(AND(V$7&lt;=$I48,V$7+6&gt;=$I48),"◆",""),IF(AND($C48="Task",$M48&lt;&gt;"",V$7&lt;=IF($N48="",$D$4,$N48),V$7+6&gt;=$M48),"●",""))</f>
        <v/>
      </c>
      <c r="W48" s="25" t="str">
        <f aca="false">IF($C48="Milestone",IF(AND(W$7&lt;=$I48,W$7+6&gt;=$I48),"◆",""),IF(AND($C48="Task",$M48&lt;&gt;"",W$7&lt;=IF($N48="",$D$4,$N48),W$7+6&gt;=$M48),"●",""))</f>
        <v/>
      </c>
      <c r="X48" s="25" t="str">
        <f aca="false">IF($C48="Milestone",IF(AND(X$7&lt;=$I48,X$7+6&gt;=$I48),"◆",""),IF(AND($C48="Task",$M48&lt;&gt;"",X$7&lt;=IF($N48="",$D$4,$N48),X$7+6&gt;=$M48),"●",""))</f>
        <v/>
      </c>
      <c r="Y48" s="25" t="str">
        <f aca="false">IF($C48="Milestone",IF(AND(Y$7&lt;=$I48,Y$7+6&gt;=$I48),"◆",""),IF(AND($C48="Task",$M48&lt;&gt;"",Y$7&lt;=IF($N48="",$D$4,$N48),Y$7+6&gt;=$M48),"●",""))</f>
        <v/>
      </c>
      <c r="Z48" s="25" t="str">
        <f aca="false">IF($C48="Milestone",IF(AND(Z$7&lt;=$I48,Z$7+6&gt;=$I48),"◆",""),IF(AND($C48="Task",$M48&lt;&gt;"",Z$7&lt;=IF($N48="",$D$4,$N48),Z$7+6&gt;=$M48),"●",""))</f>
        <v/>
      </c>
      <c r="AA48" s="25" t="str">
        <f aca="false">IF($C48="Milestone",IF(AND(AA$7&lt;=$I48,AA$7+6&gt;=$I48),"◆",""),IF(AND($C48="Task",$M48&lt;&gt;"",AA$7&lt;=IF($N48="",$D$4,$N48),AA$7+6&gt;=$M48),"●",""))</f>
        <v>◆</v>
      </c>
      <c r="AB48" s="25" t="str">
        <f aca="false">IF($C48="Milestone",IF(AND(AB$7&lt;=$I48,AB$7+6&gt;=$I48),"◆",""),IF(AND($C48="Task",$M48&lt;&gt;"",AB$7&lt;=IF($N48="",$D$4,$N48),AB$7+6&gt;=$M48),"●",""))</f>
        <v/>
      </c>
      <c r="AC48" s="25" t="str">
        <f aca="false">IF($C48="Milestone",IF(AND(AC$7&lt;=$I48,AC$7+6&gt;=$I48),"◆",""),IF(AND($C48="Task",$M48&lt;&gt;"",AC$7&lt;=IF($N48="",$D$4,$N48),AC$7+6&gt;=$M48),"●",""))</f>
        <v/>
      </c>
      <c r="AD48" s="25" t="str">
        <f aca="false">IF($C48="Milestone",IF(AND(AD$7&lt;=$I48,AD$7+6&gt;=$I48),"◆",""),IF(AND($C48="Task",$M48&lt;&gt;"",AD$7&lt;=IF($N48="",$D$4,$N48),AD$7+6&gt;=$M48),"●",""))</f>
        <v/>
      </c>
      <c r="AE48" s="25" t="str">
        <f aca="false">IF($C48="Milestone",IF(AND(AE$7&lt;=$I48,AE$7+6&gt;=$I48),"◆",""),IF(AND($C48="Task",$M48&lt;&gt;"",AE$7&lt;=IF($N48="",$D$4,$N48),AE$7+6&gt;=$M48),"●",""))</f>
        <v/>
      </c>
      <c r="AF48" s="25" t="str">
        <f aca="false">IF($C48="Milestone",IF(AND(AF$7&lt;=$I48,AF$7+6&gt;=$I48),"◆",""),IF(AND($C48="Task",$M48&lt;&gt;"",AF$7&lt;=IF($N48="",$D$4,$N48),AF$7+6&gt;=$M48),"●",""))</f>
        <v/>
      </c>
      <c r="AG48" s="25" t="str">
        <f aca="false">IF($C48="Milestone",IF(AND(AG$7&lt;=$I48,AG$7+6&gt;=$I48),"◆",""),IF(AND($C48="Task",$M48&lt;&gt;"",AG$7&lt;=IF($N48="",$D$4,$N48),AG$7+6&gt;=$M48),"●",""))</f>
        <v/>
      </c>
      <c r="AH48" s="25" t="str">
        <f aca="false">IF($C48="Milestone",IF(AND(AH$7&lt;=$I48,AH$7+6&gt;=$I48),"◆",""),IF(AND($C48="Task",$M48&lt;&gt;"",AH$7&lt;=IF($N48="",$D$4,$N48),AH$7+6&gt;=$M48),"●",""))</f>
        <v/>
      </c>
      <c r="AI48" s="25" t="str">
        <f aca="false">IF($C48="Milestone",IF(AND(AI$7&lt;=$I48,AI$7+6&gt;=$I48),"◆",""),IF(AND($C48="Task",$M48&lt;&gt;"",AI$7&lt;=IF($N48="",$D$4,$N48),AI$7+6&gt;=$M48),"●",""))</f>
        <v/>
      </c>
      <c r="AJ48" s="25" t="str">
        <f aca="false">IF($C48="Milestone",IF(AND(AJ$7&lt;=$I48,AJ$7+6&gt;=$I48),"◆",""),IF(AND($C48="Task",$M48&lt;&gt;"",AJ$7&lt;=IF($N48="",$D$4,$N48),AJ$7+6&gt;=$M48),"●",""))</f>
        <v/>
      </c>
      <c r="AK48" s="25" t="str">
        <f aca="false">IF($C48="Milestone",IF(AND(AK$7&lt;=$I48,AK$7+6&gt;=$I48),"◆",""),IF(AND($C48="Task",$M48&lt;&gt;"",AK$7&lt;=IF($N48="",$D$4,$N48),AK$7+6&gt;=$M48),"●",""))</f>
        <v/>
      </c>
      <c r="AL48" s="25" t="str">
        <f aca="false">IF($C48="Milestone",IF(AND(AL$7&lt;=$I48,AL$7+6&gt;=$I48),"◆",""),IF(AND($C48="Task",$M48&lt;&gt;"",AL$7&lt;=IF($N48="",$D$4,$N48),AL$7+6&gt;=$M48),"●",""))</f>
        <v/>
      </c>
      <c r="AM48" s="25" t="str">
        <f aca="false">IF($C48="Milestone",IF(AND(AM$7&lt;=$I48,AM$7+6&gt;=$I48),"◆",""),IF(AND($C48="Task",$M48&lt;&gt;"",AM$7&lt;=IF($N48="",$D$4,$N48),AM$7+6&gt;=$M48),"●",""))</f>
        <v/>
      </c>
      <c r="AN48" s="25" t="str">
        <f aca="false">IF($C48="Milestone",IF(AND(AN$7&lt;=$I48,AN$7+6&gt;=$I48),"◆",""),IF(AND($C48="Task",$M48&lt;&gt;"",AN$7&lt;=IF($N48="",$D$4,$N48),AN$7+6&gt;=$M48),"●",""))</f>
        <v/>
      </c>
      <c r="AO48" s="25" t="str">
        <f aca="false">IF($C48="Milestone",IF(AND(AO$7&lt;=$I48,AO$7+6&gt;=$I48),"◆",""),IF(AND($C48="Task",$M48&lt;&gt;"",AO$7&lt;=IF($N48="",$D$4,$N48),AO$7+6&gt;=$M48),"●",""))</f>
        <v/>
      </c>
      <c r="AP48" s="25" t="str">
        <f aca="false">IF($C48="Milestone",IF(AND(AP$7&lt;=$I48,AP$7+6&gt;=$I48),"◆",""),IF(AND($C48="Task",$M48&lt;&gt;"",AP$7&lt;=IF($N48="",$D$4,$N48),AP$7+6&gt;=$M48),"●",""))</f>
        <v/>
      </c>
      <c r="AQ48" s="25" t="str">
        <f aca="false">IF($C48="Milestone",IF(AND(AQ$7&lt;=$I48,AQ$7+6&gt;=$I48),"◆",""),IF(AND($C48="Task",$M48&lt;&gt;"",AQ$7&lt;=IF($N48="",$D$4,$N48),AQ$7+6&gt;=$M48),"●",""))</f>
        <v/>
      </c>
      <c r="AR48" s="25" t="str">
        <f aca="false">IF($C48="Milestone",IF(AND(AR$7&lt;=$I48,AR$7+6&gt;=$I48),"◆",""),IF(AND($C48="Task",$M48&lt;&gt;"",AR$7&lt;=IF($N48="",$D$4,$N48),AR$7+6&gt;=$M48),"●",""))</f>
        <v/>
      </c>
      <c r="AS48" s="25" t="str">
        <f aca="false">IF($C48="Milestone",IF(AND(AS$7&lt;=$I48,AS$7+6&gt;=$I48),"◆",""),IF(AND($C48="Task",$M48&lt;&gt;"",AS$7&lt;=IF($N48="",$D$4,$N48),AS$7+6&gt;=$M48),"●",""))</f>
        <v/>
      </c>
      <c r="AT48" s="25" t="str">
        <f aca="false">IF($C48="Milestone",IF(AND(AT$7&lt;=$I48,AT$7+6&gt;=$I48),"◆",""),IF(AND($C48="Task",$M48&lt;&gt;"",AT$7&lt;=IF($N48="",$D$4,$N48),AT$7+6&gt;=$M48),"●",""))</f>
        <v/>
      </c>
      <c r="AU48" s="25" t="str">
        <f aca="false">IF($C48="Milestone",IF(AND(AU$7&lt;=$I48,AU$7+6&gt;=$I48),"◆",""),IF(AND($C48="Task",$M48&lt;&gt;"",AU$7&lt;=IF($N48="",$D$4,$N48),AU$7+6&gt;=$M48),"●",""))</f>
        <v/>
      </c>
      <c r="AV48" s="25" t="str">
        <f aca="false">IF($C48="Milestone",IF(AND(AV$7&lt;=$I48,AV$7+6&gt;=$I48),"◆",""),IF(AND($C48="Task",$M48&lt;&gt;"",AV$7&lt;=IF($N48="",$D$4,$N48),AV$7+6&gt;=$M48),"●",""))</f>
        <v/>
      </c>
      <c r="AW48" s="25" t="str">
        <f aca="false">IF($C48="Milestone",IF(AND(AW$7&lt;=$I48,AW$7+6&gt;=$I48),"◆",""),IF(AND($C48="Task",$M48&lt;&gt;"",AW$7&lt;=IF($N48="",$D$4,$N48),AW$7+6&gt;=$M48),"●",""))</f>
        <v/>
      </c>
      <c r="AX48" s="25" t="str">
        <f aca="false">IF($C48="Milestone",IF(AND(AX$7&lt;=$I48,AX$7+6&gt;=$I48),"◆",""),IF(AND($C48="Task",$M48&lt;&gt;"",AX$7&lt;=IF($N48="",$D$4,$N48),AX$7+6&gt;=$M48),"●",""))</f>
        <v/>
      </c>
      <c r="AY48" s="25" t="str">
        <f aca="false">IF($C48="Milestone",IF(AND(AY$7&lt;=$I48,AY$7+6&gt;=$I48),"◆",""),IF(AND($C48="Task",$M48&lt;&gt;"",AY$7&lt;=IF($N48="",$D$4,$N48),AY$7+6&gt;=$M48),"●",""))</f>
        <v/>
      </c>
      <c r="AZ48" s="25" t="str">
        <f aca="false">IF($C48="Milestone",IF(AND(AZ$7&lt;=$I48,AZ$7+6&gt;=$I48),"◆",""),IF(AND($C48="Task",$M48&lt;&gt;"",AZ$7&lt;=IF($N48="",$D$4,$N48),AZ$7+6&gt;=$M48),"●",""))</f>
        <v/>
      </c>
    </row>
    <row r="49" customFormat="false" ht="18" hidden="false" customHeight="true" outlineLevel="0" collapsed="false">
      <c r="A49" s="18" t="s">
        <v>130</v>
      </c>
      <c r="B49" s="19" t="s">
        <v>131</v>
      </c>
      <c r="C49" s="18" t="s">
        <v>20</v>
      </c>
      <c r="D49" s="18" t="s">
        <v>81</v>
      </c>
      <c r="E49" s="18" t="s">
        <v>95</v>
      </c>
      <c r="F49" s="18" t="s">
        <v>50</v>
      </c>
      <c r="G49" s="20" t="n">
        <v>46363</v>
      </c>
      <c r="H49" s="20" t="n">
        <v>46367</v>
      </c>
      <c r="I49" s="21" t="n">
        <v>46349</v>
      </c>
      <c r="J49" s="21" t="n">
        <v>46353</v>
      </c>
      <c r="K49" s="18" t="n">
        <f aca="false">IF(C49="Task",ROUND((J49-I49+3)/7,0),"")</f>
        <v>1</v>
      </c>
      <c r="L49" s="18" t="n">
        <v>1</v>
      </c>
      <c r="M49" s="21"/>
      <c r="N49" s="21"/>
      <c r="O49" s="22"/>
      <c r="P49" s="18" t="str">
        <f aca="false">IF(C49="Break","",IF(C49="Milestone",IF(N49&lt;&gt;"","Done",IF($D$4&gt;J49,"Overdue","Upcoming")),IF(N(O49)&gt;=1,"Done",IF($D$4&lt;I49,"Not started",IF($D$4&gt;J49,"Late",IF(N(O49)+0.1&lt;($D$4-I49+1)/(J49-I49+1),"Behind","On track"))))))</f>
        <v>Not started</v>
      </c>
      <c r="Q49" s="23" t="n">
        <f aca="false">IF(C49="Break","",ROUND((IF(N49&lt;&gt;"",N49,J49)-H49)/7,1))</f>
        <v>-2</v>
      </c>
      <c r="R49" s="18" t="str">
        <f aca="false">IF(C49="Milestone",IF(N49&lt;&gt;"","✓",""),IF(AND(C49="Task",N(O49)&gt;=1),"✓",""))</f>
        <v/>
      </c>
      <c r="S49" s="18" t="n">
        <f aca="false">IF(C49="Task",K49*N(O49),"")</f>
        <v>0</v>
      </c>
      <c r="T49" s="24"/>
      <c r="U49" s="25" t="str">
        <f aca="false">IF($C49="Milestone",IF(AND(U$7&lt;=$I49,U$7+6&gt;=$I49),"◆",""),IF(AND($C49="Task",$M49&lt;&gt;"",U$7&lt;=IF($N49="",$D$4,$N49),U$7+6&gt;=$M49),"●",""))</f>
        <v/>
      </c>
      <c r="V49" s="25" t="str">
        <f aca="false">IF($C49="Milestone",IF(AND(V$7&lt;=$I49,V$7+6&gt;=$I49),"◆",""),IF(AND($C49="Task",$M49&lt;&gt;"",V$7&lt;=IF($N49="",$D$4,$N49),V$7+6&gt;=$M49),"●",""))</f>
        <v/>
      </c>
      <c r="W49" s="25" t="str">
        <f aca="false">IF($C49="Milestone",IF(AND(W$7&lt;=$I49,W$7+6&gt;=$I49),"◆",""),IF(AND($C49="Task",$M49&lt;&gt;"",W$7&lt;=IF($N49="",$D$4,$N49),W$7+6&gt;=$M49),"●",""))</f>
        <v/>
      </c>
      <c r="X49" s="25" t="str">
        <f aca="false">IF($C49="Milestone",IF(AND(X$7&lt;=$I49,X$7+6&gt;=$I49),"◆",""),IF(AND($C49="Task",$M49&lt;&gt;"",X$7&lt;=IF($N49="",$D$4,$N49),X$7+6&gt;=$M49),"●",""))</f>
        <v/>
      </c>
      <c r="Y49" s="25" t="str">
        <f aca="false">IF($C49="Milestone",IF(AND(Y$7&lt;=$I49,Y$7+6&gt;=$I49),"◆",""),IF(AND($C49="Task",$M49&lt;&gt;"",Y$7&lt;=IF($N49="",$D$4,$N49),Y$7+6&gt;=$M49),"●",""))</f>
        <v/>
      </c>
      <c r="Z49" s="25" t="str">
        <f aca="false">IF($C49="Milestone",IF(AND(Z$7&lt;=$I49,Z$7+6&gt;=$I49),"◆",""),IF(AND($C49="Task",$M49&lt;&gt;"",Z$7&lt;=IF($N49="",$D$4,$N49),Z$7+6&gt;=$M49),"●",""))</f>
        <v/>
      </c>
      <c r="AA49" s="25" t="str">
        <f aca="false">IF($C49="Milestone",IF(AND(AA$7&lt;=$I49,AA$7+6&gt;=$I49),"◆",""),IF(AND($C49="Task",$M49&lt;&gt;"",AA$7&lt;=IF($N49="",$D$4,$N49),AA$7+6&gt;=$M49),"●",""))</f>
        <v/>
      </c>
      <c r="AB49" s="25" t="str">
        <f aca="false">IF($C49="Milestone",IF(AND(AB$7&lt;=$I49,AB$7+6&gt;=$I49),"◆",""),IF(AND($C49="Task",$M49&lt;&gt;"",AB$7&lt;=IF($N49="",$D$4,$N49),AB$7+6&gt;=$M49),"●",""))</f>
        <v/>
      </c>
      <c r="AC49" s="25" t="str">
        <f aca="false">IF($C49="Milestone",IF(AND(AC$7&lt;=$I49,AC$7+6&gt;=$I49),"◆",""),IF(AND($C49="Task",$M49&lt;&gt;"",AC$7&lt;=IF($N49="",$D$4,$N49),AC$7+6&gt;=$M49),"●",""))</f>
        <v/>
      </c>
      <c r="AD49" s="25" t="str">
        <f aca="false">IF($C49="Milestone",IF(AND(AD$7&lt;=$I49,AD$7+6&gt;=$I49),"◆",""),IF(AND($C49="Task",$M49&lt;&gt;"",AD$7&lt;=IF($N49="",$D$4,$N49),AD$7+6&gt;=$M49),"●",""))</f>
        <v/>
      </c>
      <c r="AE49" s="25" t="str">
        <f aca="false">IF($C49="Milestone",IF(AND(AE$7&lt;=$I49,AE$7+6&gt;=$I49),"◆",""),IF(AND($C49="Task",$M49&lt;&gt;"",AE$7&lt;=IF($N49="",$D$4,$N49),AE$7+6&gt;=$M49),"●",""))</f>
        <v/>
      </c>
      <c r="AF49" s="25" t="str">
        <f aca="false">IF($C49="Milestone",IF(AND(AF$7&lt;=$I49,AF$7+6&gt;=$I49),"◆",""),IF(AND($C49="Task",$M49&lt;&gt;"",AF$7&lt;=IF($N49="",$D$4,$N49),AF$7+6&gt;=$M49),"●",""))</f>
        <v/>
      </c>
      <c r="AG49" s="25" t="str">
        <f aca="false">IF($C49="Milestone",IF(AND(AG$7&lt;=$I49,AG$7+6&gt;=$I49),"◆",""),IF(AND($C49="Task",$M49&lt;&gt;"",AG$7&lt;=IF($N49="",$D$4,$N49),AG$7+6&gt;=$M49),"●",""))</f>
        <v/>
      </c>
      <c r="AH49" s="25" t="str">
        <f aca="false">IF($C49="Milestone",IF(AND(AH$7&lt;=$I49,AH$7+6&gt;=$I49),"◆",""),IF(AND($C49="Task",$M49&lt;&gt;"",AH$7&lt;=IF($N49="",$D$4,$N49),AH$7+6&gt;=$M49),"●",""))</f>
        <v/>
      </c>
      <c r="AI49" s="25" t="str">
        <f aca="false">IF($C49="Milestone",IF(AND(AI$7&lt;=$I49,AI$7+6&gt;=$I49),"◆",""),IF(AND($C49="Task",$M49&lt;&gt;"",AI$7&lt;=IF($N49="",$D$4,$N49),AI$7+6&gt;=$M49),"●",""))</f>
        <v/>
      </c>
      <c r="AJ49" s="25" t="str">
        <f aca="false">IF($C49="Milestone",IF(AND(AJ$7&lt;=$I49,AJ$7+6&gt;=$I49),"◆",""),IF(AND($C49="Task",$M49&lt;&gt;"",AJ$7&lt;=IF($N49="",$D$4,$N49),AJ$7+6&gt;=$M49),"●",""))</f>
        <v/>
      </c>
      <c r="AK49" s="25" t="str">
        <f aca="false">IF($C49="Milestone",IF(AND(AK$7&lt;=$I49,AK$7+6&gt;=$I49),"◆",""),IF(AND($C49="Task",$M49&lt;&gt;"",AK$7&lt;=IF($N49="",$D$4,$N49),AK$7+6&gt;=$M49),"●",""))</f>
        <v/>
      </c>
      <c r="AL49" s="25" t="str">
        <f aca="false">IF($C49="Milestone",IF(AND(AL$7&lt;=$I49,AL$7+6&gt;=$I49),"◆",""),IF(AND($C49="Task",$M49&lt;&gt;"",AL$7&lt;=IF($N49="",$D$4,$N49),AL$7+6&gt;=$M49),"●",""))</f>
        <v/>
      </c>
      <c r="AM49" s="25" t="str">
        <f aca="false">IF($C49="Milestone",IF(AND(AM$7&lt;=$I49,AM$7+6&gt;=$I49),"◆",""),IF(AND($C49="Task",$M49&lt;&gt;"",AM$7&lt;=IF($N49="",$D$4,$N49),AM$7+6&gt;=$M49),"●",""))</f>
        <v/>
      </c>
      <c r="AN49" s="25" t="str">
        <f aca="false">IF($C49="Milestone",IF(AND(AN$7&lt;=$I49,AN$7+6&gt;=$I49),"◆",""),IF(AND($C49="Task",$M49&lt;&gt;"",AN$7&lt;=IF($N49="",$D$4,$N49),AN$7+6&gt;=$M49),"●",""))</f>
        <v/>
      </c>
      <c r="AO49" s="25" t="str">
        <f aca="false">IF($C49="Milestone",IF(AND(AO$7&lt;=$I49,AO$7+6&gt;=$I49),"◆",""),IF(AND($C49="Task",$M49&lt;&gt;"",AO$7&lt;=IF($N49="",$D$4,$N49),AO$7+6&gt;=$M49),"●",""))</f>
        <v/>
      </c>
      <c r="AP49" s="25" t="str">
        <f aca="false">IF($C49="Milestone",IF(AND(AP$7&lt;=$I49,AP$7+6&gt;=$I49),"◆",""),IF(AND($C49="Task",$M49&lt;&gt;"",AP$7&lt;=IF($N49="",$D$4,$N49),AP$7+6&gt;=$M49),"●",""))</f>
        <v/>
      </c>
      <c r="AQ49" s="25" t="str">
        <f aca="false">IF($C49="Milestone",IF(AND(AQ$7&lt;=$I49,AQ$7+6&gt;=$I49),"◆",""),IF(AND($C49="Task",$M49&lt;&gt;"",AQ$7&lt;=IF($N49="",$D$4,$N49),AQ$7+6&gt;=$M49),"●",""))</f>
        <v/>
      </c>
      <c r="AR49" s="25" t="str">
        <f aca="false">IF($C49="Milestone",IF(AND(AR$7&lt;=$I49,AR$7+6&gt;=$I49),"◆",""),IF(AND($C49="Task",$M49&lt;&gt;"",AR$7&lt;=IF($N49="",$D$4,$N49),AR$7+6&gt;=$M49),"●",""))</f>
        <v/>
      </c>
      <c r="AS49" s="25" t="str">
        <f aca="false">IF($C49="Milestone",IF(AND(AS$7&lt;=$I49,AS$7+6&gt;=$I49),"◆",""),IF(AND($C49="Task",$M49&lt;&gt;"",AS$7&lt;=IF($N49="",$D$4,$N49),AS$7+6&gt;=$M49),"●",""))</f>
        <v/>
      </c>
      <c r="AT49" s="25" t="str">
        <f aca="false">IF($C49="Milestone",IF(AND(AT$7&lt;=$I49,AT$7+6&gt;=$I49),"◆",""),IF(AND($C49="Task",$M49&lt;&gt;"",AT$7&lt;=IF($N49="",$D$4,$N49),AT$7+6&gt;=$M49),"●",""))</f>
        <v/>
      </c>
      <c r="AU49" s="25" t="str">
        <f aca="false">IF($C49="Milestone",IF(AND(AU$7&lt;=$I49,AU$7+6&gt;=$I49),"◆",""),IF(AND($C49="Task",$M49&lt;&gt;"",AU$7&lt;=IF($N49="",$D$4,$N49),AU$7+6&gt;=$M49),"●",""))</f>
        <v/>
      </c>
      <c r="AV49" s="25" t="str">
        <f aca="false">IF($C49="Milestone",IF(AND(AV$7&lt;=$I49,AV$7+6&gt;=$I49),"◆",""),IF(AND($C49="Task",$M49&lt;&gt;"",AV$7&lt;=IF($N49="",$D$4,$N49),AV$7+6&gt;=$M49),"●",""))</f>
        <v/>
      </c>
      <c r="AW49" s="25" t="str">
        <f aca="false">IF($C49="Milestone",IF(AND(AW$7&lt;=$I49,AW$7+6&gt;=$I49),"◆",""),IF(AND($C49="Task",$M49&lt;&gt;"",AW$7&lt;=IF($N49="",$D$4,$N49),AW$7+6&gt;=$M49),"●",""))</f>
        <v/>
      </c>
      <c r="AX49" s="25" t="str">
        <f aca="false">IF($C49="Milestone",IF(AND(AX$7&lt;=$I49,AX$7+6&gt;=$I49),"◆",""),IF(AND($C49="Task",$M49&lt;&gt;"",AX$7&lt;=IF($N49="",$D$4,$N49),AX$7+6&gt;=$M49),"●",""))</f>
        <v/>
      </c>
      <c r="AY49" s="25" t="str">
        <f aca="false">IF($C49="Milestone",IF(AND(AY$7&lt;=$I49,AY$7+6&gt;=$I49),"◆",""),IF(AND($C49="Task",$M49&lt;&gt;"",AY$7&lt;=IF($N49="",$D$4,$N49),AY$7+6&gt;=$M49),"●",""))</f>
        <v/>
      </c>
      <c r="AZ49" s="25" t="str">
        <f aca="false">IF($C49="Milestone",IF(AND(AZ$7&lt;=$I49,AZ$7+6&gt;=$I49),"◆",""),IF(AND($C49="Task",$M49&lt;&gt;"",AZ$7&lt;=IF($N49="",$D$4,$N49),AZ$7+6&gt;=$M49),"●",""))</f>
        <v/>
      </c>
    </row>
    <row r="50" customFormat="false" ht="15" hidden="false" customHeight="false" outlineLevel="0" collapsed="false">
      <c r="A50" s="15"/>
      <c r="B50" s="16" t="s">
        <v>132</v>
      </c>
      <c r="C50" s="17" t="s">
        <v>40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customFormat="false" ht="18" hidden="false" customHeight="true" outlineLevel="0" collapsed="false">
      <c r="A51" s="18" t="s">
        <v>133</v>
      </c>
      <c r="B51" s="19" t="s">
        <v>134</v>
      </c>
      <c r="C51" s="18" t="s">
        <v>135</v>
      </c>
      <c r="D51" s="18"/>
      <c r="E51" s="18"/>
      <c r="F51" s="18"/>
      <c r="G51" s="20" t="n">
        <v>46377</v>
      </c>
      <c r="H51" s="20" t="n">
        <v>46409</v>
      </c>
      <c r="I51" s="21" t="n">
        <v>46377</v>
      </c>
      <c r="J51" s="21" t="n">
        <v>46409</v>
      </c>
      <c r="K51" s="18" t="str">
        <f aca="false">IF(C51="Task",ROUND((J51-I51+3)/7,0),"")</f>
        <v/>
      </c>
      <c r="L51" s="18"/>
      <c r="M51" s="21"/>
      <c r="N51" s="21"/>
      <c r="O51" s="22"/>
      <c r="P51" s="18" t="str">
        <f aca="false">IF(C51="Break","",IF(C51="Milestone",IF(N51&lt;&gt;"","Done",IF($D$4&gt;J51,"Overdue","Upcoming")),IF(N(O51)&gt;=1,"Done",IF($D$4&lt;I51,"Not started",IF($D$4&gt;J51,"Late",IF(N(O51)+0.1&lt;($D$4-I51+1)/(J51-I51+1),"Behind","On track"))))))</f>
        <v/>
      </c>
      <c r="Q51" s="23" t="str">
        <f aca="false">IF(C51="Break","",ROUND((IF(N51&lt;&gt;"",N51,J51)-H51)/7,1))</f>
        <v/>
      </c>
      <c r="R51" s="18" t="str">
        <f aca="false">IF(C51="Milestone",IF(N51&lt;&gt;"","✓",""),IF(AND(C51="Task",N(O51)&gt;=1),"✓",""))</f>
        <v/>
      </c>
      <c r="S51" s="18" t="str">
        <f aca="false">IF(C51="Task",K51*N(O51),"")</f>
        <v/>
      </c>
      <c r="T51" s="24"/>
      <c r="U51" s="25" t="str">
        <f aca="false">IF($C51="Milestone",IF(AND(U$7&lt;=$I51,U$7+6&gt;=$I51),"◆",""),IF(AND($C51="Task",$M51&lt;&gt;"",U$7&lt;=IF($N51="",$D$4,$N51),U$7+6&gt;=$M51),"●",""))</f>
        <v/>
      </c>
      <c r="V51" s="25" t="str">
        <f aca="false">IF($C51="Milestone",IF(AND(V$7&lt;=$I51,V$7+6&gt;=$I51),"◆",""),IF(AND($C51="Task",$M51&lt;&gt;"",V$7&lt;=IF($N51="",$D$4,$N51),V$7+6&gt;=$M51),"●",""))</f>
        <v/>
      </c>
      <c r="W51" s="25" t="str">
        <f aca="false">IF($C51="Milestone",IF(AND(W$7&lt;=$I51,W$7+6&gt;=$I51),"◆",""),IF(AND($C51="Task",$M51&lt;&gt;"",W$7&lt;=IF($N51="",$D$4,$N51),W$7+6&gt;=$M51),"●",""))</f>
        <v/>
      </c>
      <c r="X51" s="25" t="str">
        <f aca="false">IF($C51="Milestone",IF(AND(X$7&lt;=$I51,X$7+6&gt;=$I51),"◆",""),IF(AND($C51="Task",$M51&lt;&gt;"",X$7&lt;=IF($N51="",$D$4,$N51),X$7+6&gt;=$M51),"●",""))</f>
        <v/>
      </c>
      <c r="Y51" s="25" t="str">
        <f aca="false">IF($C51="Milestone",IF(AND(Y$7&lt;=$I51,Y$7+6&gt;=$I51),"◆",""),IF(AND($C51="Task",$M51&lt;&gt;"",Y$7&lt;=IF($N51="",$D$4,$N51),Y$7+6&gt;=$M51),"●",""))</f>
        <v/>
      </c>
      <c r="Z51" s="25" t="str">
        <f aca="false">IF($C51="Milestone",IF(AND(Z$7&lt;=$I51,Z$7+6&gt;=$I51),"◆",""),IF(AND($C51="Task",$M51&lt;&gt;"",Z$7&lt;=IF($N51="",$D$4,$N51),Z$7+6&gt;=$M51),"●",""))</f>
        <v/>
      </c>
      <c r="AA51" s="25" t="str">
        <f aca="false">IF($C51="Milestone",IF(AND(AA$7&lt;=$I51,AA$7+6&gt;=$I51),"◆",""),IF(AND($C51="Task",$M51&lt;&gt;"",AA$7&lt;=IF($N51="",$D$4,$N51),AA$7+6&gt;=$M51),"●",""))</f>
        <v/>
      </c>
      <c r="AB51" s="25" t="str">
        <f aca="false">IF($C51="Milestone",IF(AND(AB$7&lt;=$I51,AB$7+6&gt;=$I51),"◆",""),IF(AND($C51="Task",$M51&lt;&gt;"",AB$7&lt;=IF($N51="",$D$4,$N51),AB$7+6&gt;=$M51),"●",""))</f>
        <v/>
      </c>
      <c r="AC51" s="25" t="str">
        <f aca="false">IF($C51="Milestone",IF(AND(AC$7&lt;=$I51,AC$7+6&gt;=$I51),"◆",""),IF(AND($C51="Task",$M51&lt;&gt;"",AC$7&lt;=IF($N51="",$D$4,$N51),AC$7+6&gt;=$M51),"●",""))</f>
        <v/>
      </c>
      <c r="AD51" s="25" t="str">
        <f aca="false">IF($C51="Milestone",IF(AND(AD$7&lt;=$I51,AD$7+6&gt;=$I51),"◆",""),IF(AND($C51="Task",$M51&lt;&gt;"",AD$7&lt;=IF($N51="",$D$4,$N51),AD$7+6&gt;=$M51),"●",""))</f>
        <v/>
      </c>
      <c r="AE51" s="25" t="str">
        <f aca="false">IF($C51="Milestone",IF(AND(AE$7&lt;=$I51,AE$7+6&gt;=$I51),"◆",""),IF(AND($C51="Task",$M51&lt;&gt;"",AE$7&lt;=IF($N51="",$D$4,$N51),AE$7+6&gt;=$M51),"●",""))</f>
        <v/>
      </c>
      <c r="AF51" s="25" t="str">
        <f aca="false">IF($C51="Milestone",IF(AND(AF$7&lt;=$I51,AF$7+6&gt;=$I51),"◆",""),IF(AND($C51="Task",$M51&lt;&gt;"",AF$7&lt;=IF($N51="",$D$4,$N51),AF$7+6&gt;=$M51),"●",""))</f>
        <v/>
      </c>
      <c r="AG51" s="25" t="str">
        <f aca="false">IF($C51="Milestone",IF(AND(AG$7&lt;=$I51,AG$7+6&gt;=$I51),"◆",""),IF(AND($C51="Task",$M51&lt;&gt;"",AG$7&lt;=IF($N51="",$D$4,$N51),AG$7+6&gt;=$M51),"●",""))</f>
        <v/>
      </c>
      <c r="AH51" s="25" t="str">
        <f aca="false">IF($C51="Milestone",IF(AND(AH$7&lt;=$I51,AH$7+6&gt;=$I51),"◆",""),IF(AND($C51="Task",$M51&lt;&gt;"",AH$7&lt;=IF($N51="",$D$4,$N51),AH$7+6&gt;=$M51),"●",""))</f>
        <v/>
      </c>
      <c r="AI51" s="25" t="str">
        <f aca="false">IF($C51="Milestone",IF(AND(AI$7&lt;=$I51,AI$7+6&gt;=$I51),"◆",""),IF(AND($C51="Task",$M51&lt;&gt;"",AI$7&lt;=IF($N51="",$D$4,$N51),AI$7+6&gt;=$M51),"●",""))</f>
        <v/>
      </c>
      <c r="AJ51" s="25" t="str">
        <f aca="false">IF($C51="Milestone",IF(AND(AJ$7&lt;=$I51,AJ$7+6&gt;=$I51),"◆",""),IF(AND($C51="Task",$M51&lt;&gt;"",AJ$7&lt;=IF($N51="",$D$4,$N51),AJ$7+6&gt;=$M51),"●",""))</f>
        <v/>
      </c>
      <c r="AK51" s="25" t="str">
        <f aca="false">IF($C51="Milestone",IF(AND(AK$7&lt;=$I51,AK$7+6&gt;=$I51),"◆",""),IF(AND($C51="Task",$M51&lt;&gt;"",AK$7&lt;=IF($N51="",$D$4,$N51),AK$7+6&gt;=$M51),"●",""))</f>
        <v/>
      </c>
      <c r="AL51" s="25" t="str">
        <f aca="false">IF($C51="Milestone",IF(AND(AL$7&lt;=$I51,AL$7+6&gt;=$I51),"◆",""),IF(AND($C51="Task",$M51&lt;&gt;"",AL$7&lt;=IF($N51="",$D$4,$N51),AL$7+6&gt;=$M51),"●",""))</f>
        <v/>
      </c>
      <c r="AM51" s="25" t="str">
        <f aca="false">IF($C51="Milestone",IF(AND(AM$7&lt;=$I51,AM$7+6&gt;=$I51),"◆",""),IF(AND($C51="Task",$M51&lt;&gt;"",AM$7&lt;=IF($N51="",$D$4,$N51),AM$7+6&gt;=$M51),"●",""))</f>
        <v/>
      </c>
      <c r="AN51" s="25" t="str">
        <f aca="false">IF($C51="Milestone",IF(AND(AN$7&lt;=$I51,AN$7+6&gt;=$I51),"◆",""),IF(AND($C51="Task",$M51&lt;&gt;"",AN$7&lt;=IF($N51="",$D$4,$N51),AN$7+6&gt;=$M51),"●",""))</f>
        <v/>
      </c>
      <c r="AO51" s="25" t="str">
        <f aca="false">IF($C51="Milestone",IF(AND(AO$7&lt;=$I51,AO$7+6&gt;=$I51),"◆",""),IF(AND($C51="Task",$M51&lt;&gt;"",AO$7&lt;=IF($N51="",$D$4,$N51),AO$7+6&gt;=$M51),"●",""))</f>
        <v/>
      </c>
      <c r="AP51" s="25" t="str">
        <f aca="false">IF($C51="Milestone",IF(AND(AP$7&lt;=$I51,AP$7+6&gt;=$I51),"◆",""),IF(AND($C51="Task",$M51&lt;&gt;"",AP$7&lt;=IF($N51="",$D$4,$N51),AP$7+6&gt;=$M51),"●",""))</f>
        <v/>
      </c>
      <c r="AQ51" s="25" t="str">
        <f aca="false">IF($C51="Milestone",IF(AND(AQ$7&lt;=$I51,AQ$7+6&gt;=$I51),"◆",""),IF(AND($C51="Task",$M51&lt;&gt;"",AQ$7&lt;=IF($N51="",$D$4,$N51),AQ$7+6&gt;=$M51),"●",""))</f>
        <v/>
      </c>
      <c r="AR51" s="25" t="str">
        <f aca="false">IF($C51="Milestone",IF(AND(AR$7&lt;=$I51,AR$7+6&gt;=$I51),"◆",""),IF(AND($C51="Task",$M51&lt;&gt;"",AR$7&lt;=IF($N51="",$D$4,$N51),AR$7+6&gt;=$M51),"●",""))</f>
        <v/>
      </c>
      <c r="AS51" s="25" t="str">
        <f aca="false">IF($C51="Milestone",IF(AND(AS$7&lt;=$I51,AS$7+6&gt;=$I51),"◆",""),IF(AND($C51="Task",$M51&lt;&gt;"",AS$7&lt;=IF($N51="",$D$4,$N51),AS$7+6&gt;=$M51),"●",""))</f>
        <v/>
      </c>
      <c r="AT51" s="25" t="str">
        <f aca="false">IF($C51="Milestone",IF(AND(AT$7&lt;=$I51,AT$7+6&gt;=$I51),"◆",""),IF(AND($C51="Task",$M51&lt;&gt;"",AT$7&lt;=IF($N51="",$D$4,$N51),AT$7+6&gt;=$M51),"●",""))</f>
        <v/>
      </c>
      <c r="AU51" s="25" t="str">
        <f aca="false">IF($C51="Milestone",IF(AND(AU$7&lt;=$I51,AU$7+6&gt;=$I51),"◆",""),IF(AND($C51="Task",$M51&lt;&gt;"",AU$7&lt;=IF($N51="",$D$4,$N51),AU$7+6&gt;=$M51),"●",""))</f>
        <v/>
      </c>
      <c r="AV51" s="25" t="str">
        <f aca="false">IF($C51="Milestone",IF(AND(AV$7&lt;=$I51,AV$7+6&gt;=$I51),"◆",""),IF(AND($C51="Task",$M51&lt;&gt;"",AV$7&lt;=IF($N51="",$D$4,$N51),AV$7+6&gt;=$M51),"●",""))</f>
        <v/>
      </c>
      <c r="AW51" s="25" t="str">
        <f aca="false">IF($C51="Milestone",IF(AND(AW$7&lt;=$I51,AW$7+6&gt;=$I51),"◆",""),IF(AND($C51="Task",$M51&lt;&gt;"",AW$7&lt;=IF($N51="",$D$4,$N51),AW$7+6&gt;=$M51),"●",""))</f>
        <v/>
      </c>
      <c r="AX51" s="25" t="str">
        <f aca="false">IF($C51="Milestone",IF(AND(AX$7&lt;=$I51,AX$7+6&gt;=$I51),"◆",""),IF(AND($C51="Task",$M51&lt;&gt;"",AX$7&lt;=IF($N51="",$D$4,$N51),AX$7+6&gt;=$M51),"●",""))</f>
        <v/>
      </c>
      <c r="AY51" s="25" t="str">
        <f aca="false">IF($C51="Milestone",IF(AND(AY$7&lt;=$I51,AY$7+6&gt;=$I51),"◆",""),IF(AND($C51="Task",$M51&lt;&gt;"",AY$7&lt;=IF($N51="",$D$4,$N51),AY$7+6&gt;=$M51),"●",""))</f>
        <v/>
      </c>
      <c r="AZ51" s="25" t="str">
        <f aca="false">IF($C51="Milestone",IF(AND(AZ$7&lt;=$I51,AZ$7+6&gt;=$I51),"◆",""),IF(AND($C51="Task",$M51&lt;&gt;"",AZ$7&lt;=IF($N51="",$D$4,$N51),AZ$7+6&gt;=$M51),"●",""))</f>
        <v/>
      </c>
    </row>
    <row r="52" customFormat="false" ht="15" hidden="false" customHeight="false" outlineLevel="0" collapsed="false">
      <c r="A52" s="15"/>
      <c r="B52" s="16" t="s">
        <v>136</v>
      </c>
      <c r="C52" s="17" t="s">
        <v>40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customFormat="false" ht="18" hidden="false" customHeight="true" outlineLevel="0" collapsed="false">
      <c r="A53" s="18" t="s">
        <v>137</v>
      </c>
      <c r="B53" s="19" t="s">
        <v>138</v>
      </c>
      <c r="C53" s="18" t="s">
        <v>20</v>
      </c>
      <c r="D53" s="18" t="s">
        <v>86</v>
      </c>
      <c r="E53" s="18"/>
      <c r="F53" s="18" t="s">
        <v>50</v>
      </c>
      <c r="G53" s="20" t="n">
        <v>46328</v>
      </c>
      <c r="H53" s="20" t="n">
        <v>46332</v>
      </c>
      <c r="I53" s="21" t="n">
        <v>46321</v>
      </c>
      <c r="J53" s="21" t="n">
        <v>46332</v>
      </c>
      <c r="K53" s="18" t="n">
        <f aca="false">IF(C53="Task",ROUND((J53-I53+3)/7,0),"")</f>
        <v>2</v>
      </c>
      <c r="L53" s="18" t="n">
        <v>2</v>
      </c>
      <c r="M53" s="21"/>
      <c r="N53" s="21"/>
      <c r="O53" s="22"/>
      <c r="P53" s="18" t="str">
        <f aca="false">IF(C53="Break","",IF(C53="Milestone",IF(N53&lt;&gt;"","Done",IF($D$4&gt;J53,"Overdue","Upcoming")),IF(N(O53)&gt;=1,"Done",IF($D$4&lt;I53,"Not started",IF($D$4&gt;J53,"Late",IF(N(O53)+0.1&lt;($D$4-I53+1)/(J53-I53+1),"Behind","On track"))))))</f>
        <v>Not started</v>
      </c>
      <c r="Q53" s="23" t="n">
        <f aca="false">IF(C53="Break","",ROUND((IF(N53&lt;&gt;"",N53,J53)-H53)/7,1))</f>
        <v>0</v>
      </c>
      <c r="R53" s="18" t="str">
        <f aca="false">IF(C53="Milestone",IF(N53&lt;&gt;"","✓",""),IF(AND(C53="Task",N(O53)&gt;=1),"✓",""))</f>
        <v/>
      </c>
      <c r="S53" s="18" t="n">
        <f aca="false">IF(C53="Task",K53*N(O53),"")</f>
        <v>0</v>
      </c>
      <c r="T53" s="24"/>
      <c r="U53" s="25" t="str">
        <f aca="false">IF($C53="Milestone",IF(AND(U$7&lt;=$I53,U$7+6&gt;=$I53),"◆",""),IF(AND($C53="Task",$M53&lt;&gt;"",U$7&lt;=IF($N53="",$D$4,$N53),U$7+6&gt;=$M53),"●",""))</f>
        <v/>
      </c>
      <c r="V53" s="25" t="str">
        <f aca="false">IF($C53="Milestone",IF(AND(V$7&lt;=$I53,V$7+6&gt;=$I53),"◆",""),IF(AND($C53="Task",$M53&lt;&gt;"",V$7&lt;=IF($N53="",$D$4,$N53),V$7+6&gt;=$M53),"●",""))</f>
        <v/>
      </c>
      <c r="W53" s="25" t="str">
        <f aca="false">IF($C53="Milestone",IF(AND(W$7&lt;=$I53,W$7+6&gt;=$I53),"◆",""),IF(AND($C53="Task",$M53&lt;&gt;"",W$7&lt;=IF($N53="",$D$4,$N53),W$7+6&gt;=$M53),"●",""))</f>
        <v/>
      </c>
      <c r="X53" s="25" t="str">
        <f aca="false">IF($C53="Milestone",IF(AND(X$7&lt;=$I53,X$7+6&gt;=$I53),"◆",""),IF(AND($C53="Task",$M53&lt;&gt;"",X$7&lt;=IF($N53="",$D$4,$N53),X$7+6&gt;=$M53),"●",""))</f>
        <v/>
      </c>
      <c r="Y53" s="25" t="str">
        <f aca="false">IF($C53="Milestone",IF(AND(Y$7&lt;=$I53,Y$7+6&gt;=$I53),"◆",""),IF(AND($C53="Task",$M53&lt;&gt;"",Y$7&lt;=IF($N53="",$D$4,$N53),Y$7+6&gt;=$M53),"●",""))</f>
        <v/>
      </c>
      <c r="Z53" s="25" t="str">
        <f aca="false">IF($C53="Milestone",IF(AND(Z$7&lt;=$I53,Z$7+6&gt;=$I53),"◆",""),IF(AND($C53="Task",$M53&lt;&gt;"",Z$7&lt;=IF($N53="",$D$4,$N53),Z$7+6&gt;=$M53),"●",""))</f>
        <v/>
      </c>
      <c r="AA53" s="25" t="str">
        <f aca="false">IF($C53="Milestone",IF(AND(AA$7&lt;=$I53,AA$7+6&gt;=$I53),"◆",""),IF(AND($C53="Task",$M53&lt;&gt;"",AA$7&lt;=IF($N53="",$D$4,$N53),AA$7+6&gt;=$M53),"●",""))</f>
        <v/>
      </c>
      <c r="AB53" s="25" t="str">
        <f aca="false">IF($C53="Milestone",IF(AND(AB$7&lt;=$I53,AB$7+6&gt;=$I53),"◆",""),IF(AND($C53="Task",$M53&lt;&gt;"",AB$7&lt;=IF($N53="",$D$4,$N53),AB$7+6&gt;=$M53),"●",""))</f>
        <v/>
      </c>
      <c r="AC53" s="25" t="str">
        <f aca="false">IF($C53="Milestone",IF(AND(AC$7&lt;=$I53,AC$7+6&gt;=$I53),"◆",""),IF(AND($C53="Task",$M53&lt;&gt;"",AC$7&lt;=IF($N53="",$D$4,$N53),AC$7+6&gt;=$M53),"●",""))</f>
        <v/>
      </c>
      <c r="AD53" s="25" t="str">
        <f aca="false">IF($C53="Milestone",IF(AND(AD$7&lt;=$I53,AD$7+6&gt;=$I53),"◆",""),IF(AND($C53="Task",$M53&lt;&gt;"",AD$7&lt;=IF($N53="",$D$4,$N53),AD$7+6&gt;=$M53),"●",""))</f>
        <v/>
      </c>
      <c r="AE53" s="25" t="str">
        <f aca="false">IF($C53="Milestone",IF(AND(AE$7&lt;=$I53,AE$7+6&gt;=$I53),"◆",""),IF(AND($C53="Task",$M53&lt;&gt;"",AE$7&lt;=IF($N53="",$D$4,$N53),AE$7+6&gt;=$M53),"●",""))</f>
        <v/>
      </c>
      <c r="AF53" s="25" t="str">
        <f aca="false">IF($C53="Milestone",IF(AND(AF$7&lt;=$I53,AF$7+6&gt;=$I53),"◆",""),IF(AND($C53="Task",$M53&lt;&gt;"",AF$7&lt;=IF($N53="",$D$4,$N53),AF$7+6&gt;=$M53),"●",""))</f>
        <v/>
      </c>
      <c r="AG53" s="25" t="str">
        <f aca="false">IF($C53="Milestone",IF(AND(AG$7&lt;=$I53,AG$7+6&gt;=$I53),"◆",""),IF(AND($C53="Task",$M53&lt;&gt;"",AG$7&lt;=IF($N53="",$D$4,$N53),AG$7+6&gt;=$M53),"●",""))</f>
        <v/>
      </c>
      <c r="AH53" s="25" t="str">
        <f aca="false">IF($C53="Milestone",IF(AND(AH$7&lt;=$I53,AH$7+6&gt;=$I53),"◆",""),IF(AND($C53="Task",$M53&lt;&gt;"",AH$7&lt;=IF($N53="",$D$4,$N53),AH$7+6&gt;=$M53),"●",""))</f>
        <v/>
      </c>
      <c r="AI53" s="25" t="str">
        <f aca="false">IF($C53="Milestone",IF(AND(AI$7&lt;=$I53,AI$7+6&gt;=$I53),"◆",""),IF(AND($C53="Task",$M53&lt;&gt;"",AI$7&lt;=IF($N53="",$D$4,$N53),AI$7+6&gt;=$M53),"●",""))</f>
        <v/>
      </c>
      <c r="AJ53" s="25" t="str">
        <f aca="false">IF($C53="Milestone",IF(AND(AJ$7&lt;=$I53,AJ$7+6&gt;=$I53),"◆",""),IF(AND($C53="Task",$M53&lt;&gt;"",AJ$7&lt;=IF($N53="",$D$4,$N53),AJ$7+6&gt;=$M53),"●",""))</f>
        <v/>
      </c>
      <c r="AK53" s="25" t="str">
        <f aca="false">IF($C53="Milestone",IF(AND(AK$7&lt;=$I53,AK$7+6&gt;=$I53),"◆",""),IF(AND($C53="Task",$M53&lt;&gt;"",AK$7&lt;=IF($N53="",$D$4,$N53),AK$7+6&gt;=$M53),"●",""))</f>
        <v/>
      </c>
      <c r="AL53" s="25" t="str">
        <f aca="false">IF($C53="Milestone",IF(AND(AL$7&lt;=$I53,AL$7+6&gt;=$I53),"◆",""),IF(AND($C53="Task",$M53&lt;&gt;"",AL$7&lt;=IF($N53="",$D$4,$N53),AL$7+6&gt;=$M53),"●",""))</f>
        <v/>
      </c>
      <c r="AM53" s="25" t="str">
        <f aca="false">IF($C53="Milestone",IF(AND(AM$7&lt;=$I53,AM$7+6&gt;=$I53),"◆",""),IF(AND($C53="Task",$M53&lt;&gt;"",AM$7&lt;=IF($N53="",$D$4,$N53),AM$7+6&gt;=$M53),"●",""))</f>
        <v/>
      </c>
      <c r="AN53" s="25" t="str">
        <f aca="false">IF($C53="Milestone",IF(AND(AN$7&lt;=$I53,AN$7+6&gt;=$I53),"◆",""),IF(AND($C53="Task",$M53&lt;&gt;"",AN$7&lt;=IF($N53="",$D$4,$N53),AN$7+6&gt;=$M53),"●",""))</f>
        <v/>
      </c>
      <c r="AO53" s="25" t="str">
        <f aca="false">IF($C53="Milestone",IF(AND(AO$7&lt;=$I53,AO$7+6&gt;=$I53),"◆",""),IF(AND($C53="Task",$M53&lt;&gt;"",AO$7&lt;=IF($N53="",$D$4,$N53),AO$7+6&gt;=$M53),"●",""))</f>
        <v/>
      </c>
      <c r="AP53" s="25" t="str">
        <f aca="false">IF($C53="Milestone",IF(AND(AP$7&lt;=$I53,AP$7+6&gt;=$I53),"◆",""),IF(AND($C53="Task",$M53&lt;&gt;"",AP$7&lt;=IF($N53="",$D$4,$N53),AP$7+6&gt;=$M53),"●",""))</f>
        <v/>
      </c>
      <c r="AQ53" s="25" t="str">
        <f aca="false">IF($C53="Milestone",IF(AND(AQ$7&lt;=$I53,AQ$7+6&gt;=$I53),"◆",""),IF(AND($C53="Task",$M53&lt;&gt;"",AQ$7&lt;=IF($N53="",$D$4,$N53),AQ$7+6&gt;=$M53),"●",""))</f>
        <v/>
      </c>
      <c r="AR53" s="25" t="str">
        <f aca="false">IF($C53="Milestone",IF(AND(AR$7&lt;=$I53,AR$7+6&gt;=$I53),"◆",""),IF(AND($C53="Task",$M53&lt;&gt;"",AR$7&lt;=IF($N53="",$D$4,$N53),AR$7+6&gt;=$M53),"●",""))</f>
        <v/>
      </c>
      <c r="AS53" s="25" t="str">
        <f aca="false">IF($C53="Milestone",IF(AND(AS$7&lt;=$I53,AS$7+6&gt;=$I53),"◆",""),IF(AND($C53="Task",$M53&lt;&gt;"",AS$7&lt;=IF($N53="",$D$4,$N53),AS$7+6&gt;=$M53),"●",""))</f>
        <v/>
      </c>
      <c r="AT53" s="25" t="str">
        <f aca="false">IF($C53="Milestone",IF(AND(AT$7&lt;=$I53,AT$7+6&gt;=$I53),"◆",""),IF(AND($C53="Task",$M53&lt;&gt;"",AT$7&lt;=IF($N53="",$D$4,$N53),AT$7+6&gt;=$M53),"●",""))</f>
        <v/>
      </c>
      <c r="AU53" s="25" t="str">
        <f aca="false">IF($C53="Milestone",IF(AND(AU$7&lt;=$I53,AU$7+6&gt;=$I53),"◆",""),IF(AND($C53="Task",$M53&lt;&gt;"",AU$7&lt;=IF($N53="",$D$4,$N53),AU$7+6&gt;=$M53),"●",""))</f>
        <v/>
      </c>
      <c r="AV53" s="25" t="str">
        <f aca="false">IF($C53="Milestone",IF(AND(AV$7&lt;=$I53,AV$7+6&gt;=$I53),"◆",""),IF(AND($C53="Task",$M53&lt;&gt;"",AV$7&lt;=IF($N53="",$D$4,$N53),AV$7+6&gt;=$M53),"●",""))</f>
        <v/>
      </c>
      <c r="AW53" s="25" t="str">
        <f aca="false">IF($C53="Milestone",IF(AND(AW$7&lt;=$I53,AW$7+6&gt;=$I53),"◆",""),IF(AND($C53="Task",$M53&lt;&gt;"",AW$7&lt;=IF($N53="",$D$4,$N53),AW$7+6&gt;=$M53),"●",""))</f>
        <v/>
      </c>
      <c r="AX53" s="25" t="str">
        <f aca="false">IF($C53="Milestone",IF(AND(AX$7&lt;=$I53,AX$7+6&gt;=$I53),"◆",""),IF(AND($C53="Task",$M53&lt;&gt;"",AX$7&lt;=IF($N53="",$D$4,$N53),AX$7+6&gt;=$M53),"●",""))</f>
        <v/>
      </c>
      <c r="AY53" s="25" t="str">
        <f aca="false">IF($C53="Milestone",IF(AND(AY$7&lt;=$I53,AY$7+6&gt;=$I53),"◆",""),IF(AND($C53="Task",$M53&lt;&gt;"",AY$7&lt;=IF($N53="",$D$4,$N53),AY$7+6&gt;=$M53),"●",""))</f>
        <v/>
      </c>
      <c r="AZ53" s="25" t="str">
        <f aca="false">IF($C53="Milestone",IF(AND(AZ$7&lt;=$I53,AZ$7+6&gt;=$I53),"◆",""),IF(AND($C53="Task",$M53&lt;&gt;"",AZ$7&lt;=IF($N53="",$D$4,$N53),AZ$7+6&gt;=$M53),"●",""))</f>
        <v/>
      </c>
    </row>
    <row r="54" customFormat="false" ht="18" hidden="false" customHeight="true" outlineLevel="0" collapsed="false">
      <c r="A54" s="18" t="s">
        <v>139</v>
      </c>
      <c r="B54" s="19" t="s">
        <v>140</v>
      </c>
      <c r="C54" s="18" t="s">
        <v>20</v>
      </c>
      <c r="D54" s="18" t="s">
        <v>86</v>
      </c>
      <c r="E54" s="18" t="s">
        <v>141</v>
      </c>
      <c r="F54" s="18" t="s">
        <v>44</v>
      </c>
      <c r="G54" s="20" t="n">
        <v>46412</v>
      </c>
      <c r="H54" s="20" t="n">
        <v>46430</v>
      </c>
      <c r="I54" s="21" t="n">
        <v>46363</v>
      </c>
      <c r="J54" s="21" t="n">
        <v>46416</v>
      </c>
      <c r="K54" s="18" t="n">
        <f aca="false">IF(C54="Task",ROUND((J54-I54+3)/7,0),"")</f>
        <v>8</v>
      </c>
      <c r="L54" s="18" t="n">
        <v>0</v>
      </c>
      <c r="M54" s="21"/>
      <c r="N54" s="21"/>
      <c r="O54" s="22"/>
      <c r="P54" s="18" t="str">
        <f aca="false">IF(C54="Break","",IF(C54="Milestone",IF(N54&lt;&gt;"","Done",IF($D$4&gt;J54,"Overdue","Upcoming")),IF(N(O54)&gt;=1,"Done",IF($D$4&lt;I54,"Not started",IF($D$4&gt;J54,"Late",IF(N(O54)+0.1&lt;($D$4-I54+1)/(J54-I54+1),"Behind","On track"))))))</f>
        <v>Not started</v>
      </c>
      <c r="Q54" s="23" t="n">
        <f aca="false">IF(C54="Break","",ROUND((IF(N54&lt;&gt;"",N54,J54)-H54)/7,1))</f>
        <v>-2</v>
      </c>
      <c r="R54" s="18" t="str">
        <f aca="false">IF(C54="Milestone",IF(N54&lt;&gt;"","✓",""),IF(AND(C54="Task",N(O54)&gt;=1),"✓",""))</f>
        <v/>
      </c>
      <c r="S54" s="18" t="n">
        <f aca="false">IF(C54="Task",K54*N(O54),"")</f>
        <v>0</v>
      </c>
      <c r="T54" s="24"/>
      <c r="U54" s="25" t="str">
        <f aca="false">IF($C54="Milestone",IF(AND(U$7&lt;=$I54,U$7+6&gt;=$I54),"◆",""),IF(AND($C54="Task",$M54&lt;&gt;"",U$7&lt;=IF($N54="",$D$4,$N54),U$7+6&gt;=$M54),"●",""))</f>
        <v/>
      </c>
      <c r="V54" s="25" t="str">
        <f aca="false">IF($C54="Milestone",IF(AND(V$7&lt;=$I54,V$7+6&gt;=$I54),"◆",""),IF(AND($C54="Task",$M54&lt;&gt;"",V$7&lt;=IF($N54="",$D$4,$N54),V$7+6&gt;=$M54),"●",""))</f>
        <v/>
      </c>
      <c r="W54" s="25" t="str">
        <f aca="false">IF($C54="Milestone",IF(AND(W$7&lt;=$I54,W$7+6&gt;=$I54),"◆",""),IF(AND($C54="Task",$M54&lt;&gt;"",W$7&lt;=IF($N54="",$D$4,$N54),W$7+6&gt;=$M54),"●",""))</f>
        <v/>
      </c>
      <c r="X54" s="25" t="str">
        <f aca="false">IF($C54="Milestone",IF(AND(X$7&lt;=$I54,X$7+6&gt;=$I54),"◆",""),IF(AND($C54="Task",$M54&lt;&gt;"",X$7&lt;=IF($N54="",$D$4,$N54),X$7+6&gt;=$M54),"●",""))</f>
        <v/>
      </c>
      <c r="Y54" s="25" t="str">
        <f aca="false">IF($C54="Milestone",IF(AND(Y$7&lt;=$I54,Y$7+6&gt;=$I54),"◆",""),IF(AND($C54="Task",$M54&lt;&gt;"",Y$7&lt;=IF($N54="",$D$4,$N54),Y$7+6&gt;=$M54),"●",""))</f>
        <v/>
      </c>
      <c r="Z54" s="25" t="str">
        <f aca="false">IF($C54="Milestone",IF(AND(Z$7&lt;=$I54,Z$7+6&gt;=$I54),"◆",""),IF(AND($C54="Task",$M54&lt;&gt;"",Z$7&lt;=IF($N54="",$D$4,$N54),Z$7+6&gt;=$M54),"●",""))</f>
        <v/>
      </c>
      <c r="AA54" s="25" t="str">
        <f aca="false">IF($C54="Milestone",IF(AND(AA$7&lt;=$I54,AA$7+6&gt;=$I54),"◆",""),IF(AND($C54="Task",$M54&lt;&gt;"",AA$7&lt;=IF($N54="",$D$4,$N54),AA$7+6&gt;=$M54),"●",""))</f>
        <v/>
      </c>
      <c r="AB54" s="25" t="str">
        <f aca="false">IF($C54="Milestone",IF(AND(AB$7&lt;=$I54,AB$7+6&gt;=$I54),"◆",""),IF(AND($C54="Task",$M54&lt;&gt;"",AB$7&lt;=IF($N54="",$D$4,$N54),AB$7+6&gt;=$M54),"●",""))</f>
        <v/>
      </c>
      <c r="AC54" s="25" t="str">
        <f aca="false">IF($C54="Milestone",IF(AND(AC$7&lt;=$I54,AC$7+6&gt;=$I54),"◆",""),IF(AND($C54="Task",$M54&lt;&gt;"",AC$7&lt;=IF($N54="",$D$4,$N54),AC$7+6&gt;=$M54),"●",""))</f>
        <v/>
      </c>
      <c r="AD54" s="25" t="str">
        <f aca="false">IF($C54="Milestone",IF(AND(AD$7&lt;=$I54,AD$7+6&gt;=$I54),"◆",""),IF(AND($C54="Task",$M54&lt;&gt;"",AD$7&lt;=IF($N54="",$D$4,$N54),AD$7+6&gt;=$M54),"●",""))</f>
        <v/>
      </c>
      <c r="AE54" s="25" t="str">
        <f aca="false">IF($C54="Milestone",IF(AND(AE$7&lt;=$I54,AE$7+6&gt;=$I54),"◆",""),IF(AND($C54="Task",$M54&lt;&gt;"",AE$7&lt;=IF($N54="",$D$4,$N54),AE$7+6&gt;=$M54),"●",""))</f>
        <v/>
      </c>
      <c r="AF54" s="25" t="str">
        <f aca="false">IF($C54="Milestone",IF(AND(AF$7&lt;=$I54,AF$7+6&gt;=$I54),"◆",""),IF(AND($C54="Task",$M54&lt;&gt;"",AF$7&lt;=IF($N54="",$D$4,$N54),AF$7+6&gt;=$M54),"●",""))</f>
        <v/>
      </c>
      <c r="AG54" s="25" t="str">
        <f aca="false">IF($C54="Milestone",IF(AND(AG$7&lt;=$I54,AG$7+6&gt;=$I54),"◆",""),IF(AND($C54="Task",$M54&lt;&gt;"",AG$7&lt;=IF($N54="",$D$4,$N54),AG$7+6&gt;=$M54),"●",""))</f>
        <v/>
      </c>
      <c r="AH54" s="25" t="str">
        <f aca="false">IF($C54="Milestone",IF(AND(AH$7&lt;=$I54,AH$7+6&gt;=$I54),"◆",""),IF(AND($C54="Task",$M54&lt;&gt;"",AH$7&lt;=IF($N54="",$D$4,$N54),AH$7+6&gt;=$M54),"●",""))</f>
        <v/>
      </c>
      <c r="AI54" s="25" t="str">
        <f aca="false">IF($C54="Milestone",IF(AND(AI$7&lt;=$I54,AI$7+6&gt;=$I54),"◆",""),IF(AND($C54="Task",$M54&lt;&gt;"",AI$7&lt;=IF($N54="",$D$4,$N54),AI$7+6&gt;=$M54),"●",""))</f>
        <v/>
      </c>
      <c r="AJ54" s="25" t="str">
        <f aca="false">IF($C54="Milestone",IF(AND(AJ$7&lt;=$I54,AJ$7+6&gt;=$I54),"◆",""),IF(AND($C54="Task",$M54&lt;&gt;"",AJ$7&lt;=IF($N54="",$D$4,$N54),AJ$7+6&gt;=$M54),"●",""))</f>
        <v/>
      </c>
      <c r="AK54" s="25" t="str">
        <f aca="false">IF($C54="Milestone",IF(AND(AK$7&lt;=$I54,AK$7+6&gt;=$I54),"◆",""),IF(AND($C54="Task",$M54&lt;&gt;"",AK$7&lt;=IF($N54="",$D$4,$N54),AK$7+6&gt;=$M54),"●",""))</f>
        <v/>
      </c>
      <c r="AL54" s="25" t="str">
        <f aca="false">IF($C54="Milestone",IF(AND(AL$7&lt;=$I54,AL$7+6&gt;=$I54),"◆",""),IF(AND($C54="Task",$M54&lt;&gt;"",AL$7&lt;=IF($N54="",$D$4,$N54),AL$7+6&gt;=$M54),"●",""))</f>
        <v/>
      </c>
      <c r="AM54" s="25" t="str">
        <f aca="false">IF($C54="Milestone",IF(AND(AM$7&lt;=$I54,AM$7+6&gt;=$I54),"◆",""),IF(AND($C54="Task",$M54&lt;&gt;"",AM$7&lt;=IF($N54="",$D$4,$N54),AM$7+6&gt;=$M54),"●",""))</f>
        <v/>
      </c>
      <c r="AN54" s="25" t="str">
        <f aca="false">IF($C54="Milestone",IF(AND(AN$7&lt;=$I54,AN$7+6&gt;=$I54),"◆",""),IF(AND($C54="Task",$M54&lt;&gt;"",AN$7&lt;=IF($N54="",$D$4,$N54),AN$7+6&gt;=$M54),"●",""))</f>
        <v/>
      </c>
      <c r="AO54" s="25" t="str">
        <f aca="false">IF($C54="Milestone",IF(AND(AO$7&lt;=$I54,AO$7+6&gt;=$I54),"◆",""),IF(AND($C54="Task",$M54&lt;&gt;"",AO$7&lt;=IF($N54="",$D$4,$N54),AO$7+6&gt;=$M54),"●",""))</f>
        <v/>
      </c>
      <c r="AP54" s="25" t="str">
        <f aca="false">IF($C54="Milestone",IF(AND(AP$7&lt;=$I54,AP$7+6&gt;=$I54),"◆",""),IF(AND($C54="Task",$M54&lt;&gt;"",AP$7&lt;=IF($N54="",$D$4,$N54),AP$7+6&gt;=$M54),"●",""))</f>
        <v/>
      </c>
      <c r="AQ54" s="25" t="str">
        <f aca="false">IF($C54="Milestone",IF(AND(AQ$7&lt;=$I54,AQ$7+6&gt;=$I54),"◆",""),IF(AND($C54="Task",$M54&lt;&gt;"",AQ$7&lt;=IF($N54="",$D$4,$N54),AQ$7+6&gt;=$M54),"●",""))</f>
        <v/>
      </c>
      <c r="AR54" s="25" t="str">
        <f aca="false">IF($C54="Milestone",IF(AND(AR$7&lt;=$I54,AR$7+6&gt;=$I54),"◆",""),IF(AND($C54="Task",$M54&lt;&gt;"",AR$7&lt;=IF($N54="",$D$4,$N54),AR$7+6&gt;=$M54),"●",""))</f>
        <v/>
      </c>
      <c r="AS54" s="25" t="str">
        <f aca="false">IF($C54="Milestone",IF(AND(AS$7&lt;=$I54,AS$7+6&gt;=$I54),"◆",""),IF(AND($C54="Task",$M54&lt;&gt;"",AS$7&lt;=IF($N54="",$D$4,$N54),AS$7+6&gt;=$M54),"●",""))</f>
        <v/>
      </c>
      <c r="AT54" s="25" t="str">
        <f aca="false">IF($C54="Milestone",IF(AND(AT$7&lt;=$I54,AT$7+6&gt;=$I54),"◆",""),IF(AND($C54="Task",$M54&lt;&gt;"",AT$7&lt;=IF($N54="",$D$4,$N54),AT$7+6&gt;=$M54),"●",""))</f>
        <v/>
      </c>
      <c r="AU54" s="25" t="str">
        <f aca="false">IF($C54="Milestone",IF(AND(AU$7&lt;=$I54,AU$7+6&gt;=$I54),"◆",""),IF(AND($C54="Task",$M54&lt;&gt;"",AU$7&lt;=IF($N54="",$D$4,$N54),AU$7+6&gt;=$M54),"●",""))</f>
        <v/>
      </c>
      <c r="AV54" s="25" t="str">
        <f aca="false">IF($C54="Milestone",IF(AND(AV$7&lt;=$I54,AV$7+6&gt;=$I54),"◆",""),IF(AND($C54="Task",$M54&lt;&gt;"",AV$7&lt;=IF($N54="",$D$4,$N54),AV$7+6&gt;=$M54),"●",""))</f>
        <v/>
      </c>
      <c r="AW54" s="25" t="str">
        <f aca="false">IF($C54="Milestone",IF(AND(AW$7&lt;=$I54,AW$7+6&gt;=$I54),"◆",""),IF(AND($C54="Task",$M54&lt;&gt;"",AW$7&lt;=IF($N54="",$D$4,$N54),AW$7+6&gt;=$M54),"●",""))</f>
        <v/>
      </c>
      <c r="AX54" s="25" t="str">
        <f aca="false">IF($C54="Milestone",IF(AND(AX$7&lt;=$I54,AX$7+6&gt;=$I54),"◆",""),IF(AND($C54="Task",$M54&lt;&gt;"",AX$7&lt;=IF($N54="",$D$4,$N54),AX$7+6&gt;=$M54),"●",""))</f>
        <v/>
      </c>
      <c r="AY54" s="25" t="str">
        <f aca="false">IF($C54="Milestone",IF(AND(AY$7&lt;=$I54,AY$7+6&gt;=$I54),"◆",""),IF(AND($C54="Task",$M54&lt;&gt;"",AY$7&lt;=IF($N54="",$D$4,$N54),AY$7+6&gt;=$M54),"●",""))</f>
        <v/>
      </c>
      <c r="AZ54" s="25" t="str">
        <f aca="false">IF($C54="Milestone",IF(AND(AZ$7&lt;=$I54,AZ$7+6&gt;=$I54),"◆",""),IF(AND($C54="Task",$M54&lt;&gt;"",AZ$7&lt;=IF($N54="",$D$4,$N54),AZ$7+6&gt;=$M54),"●",""))</f>
        <v/>
      </c>
    </row>
    <row r="55" customFormat="false" ht="18" hidden="false" customHeight="true" outlineLevel="0" collapsed="false">
      <c r="A55" s="18" t="s">
        <v>59</v>
      </c>
      <c r="B55" s="19" t="s">
        <v>142</v>
      </c>
      <c r="C55" s="18" t="s">
        <v>20</v>
      </c>
      <c r="D55" s="18" t="s">
        <v>86</v>
      </c>
      <c r="E55" s="18" t="s">
        <v>139</v>
      </c>
      <c r="F55" s="18" t="s">
        <v>44</v>
      </c>
      <c r="G55" s="20" t="n">
        <v>46433</v>
      </c>
      <c r="H55" s="20" t="n">
        <v>46437</v>
      </c>
      <c r="I55" s="21" t="n">
        <v>46412</v>
      </c>
      <c r="J55" s="21" t="n">
        <v>46416</v>
      </c>
      <c r="K55" s="18" t="n">
        <f aca="false">IF(C55="Task",ROUND((J55-I55+3)/7,0),"")</f>
        <v>1</v>
      </c>
      <c r="L55" s="18" t="n">
        <v>0</v>
      </c>
      <c r="M55" s="21"/>
      <c r="N55" s="21"/>
      <c r="O55" s="22"/>
      <c r="P55" s="18" t="str">
        <f aca="false">IF(C55="Break","",IF(C55="Milestone",IF(N55&lt;&gt;"","Done",IF($D$4&gt;J55,"Overdue","Upcoming")),IF(N(O55)&gt;=1,"Done",IF($D$4&lt;I55,"Not started",IF($D$4&gt;J55,"Late",IF(N(O55)+0.1&lt;($D$4-I55+1)/(J55-I55+1),"Behind","On track"))))))</f>
        <v>Not started</v>
      </c>
      <c r="Q55" s="23" t="n">
        <f aca="false">IF(C55="Break","",ROUND((IF(N55&lt;&gt;"",N55,J55)-H55)/7,1))</f>
        <v>-3</v>
      </c>
      <c r="R55" s="18" t="str">
        <f aca="false">IF(C55="Milestone",IF(N55&lt;&gt;"","✓",""),IF(AND(C55="Task",N(O55)&gt;=1),"✓",""))</f>
        <v/>
      </c>
      <c r="S55" s="18" t="n">
        <f aca="false">IF(C55="Task",K55*N(O55),"")</f>
        <v>0</v>
      </c>
      <c r="T55" s="24"/>
      <c r="U55" s="25" t="str">
        <f aca="false">IF($C55="Milestone",IF(AND(U$7&lt;=$I55,U$7+6&gt;=$I55),"◆",""),IF(AND($C55="Task",$M55&lt;&gt;"",U$7&lt;=IF($N55="",$D$4,$N55),U$7+6&gt;=$M55),"●",""))</f>
        <v/>
      </c>
      <c r="V55" s="25" t="str">
        <f aca="false">IF($C55="Milestone",IF(AND(V$7&lt;=$I55,V$7+6&gt;=$I55),"◆",""),IF(AND($C55="Task",$M55&lt;&gt;"",V$7&lt;=IF($N55="",$D$4,$N55),V$7+6&gt;=$M55),"●",""))</f>
        <v/>
      </c>
      <c r="W55" s="25" t="str">
        <f aca="false">IF($C55="Milestone",IF(AND(W$7&lt;=$I55,W$7+6&gt;=$I55),"◆",""),IF(AND($C55="Task",$M55&lt;&gt;"",W$7&lt;=IF($N55="",$D$4,$N55),W$7+6&gt;=$M55),"●",""))</f>
        <v/>
      </c>
      <c r="X55" s="25" t="str">
        <f aca="false">IF($C55="Milestone",IF(AND(X$7&lt;=$I55,X$7+6&gt;=$I55),"◆",""),IF(AND($C55="Task",$M55&lt;&gt;"",X$7&lt;=IF($N55="",$D$4,$N55),X$7+6&gt;=$M55),"●",""))</f>
        <v/>
      </c>
      <c r="Y55" s="25" t="str">
        <f aca="false">IF($C55="Milestone",IF(AND(Y$7&lt;=$I55,Y$7+6&gt;=$I55),"◆",""),IF(AND($C55="Task",$M55&lt;&gt;"",Y$7&lt;=IF($N55="",$D$4,$N55),Y$7+6&gt;=$M55),"●",""))</f>
        <v/>
      </c>
      <c r="Z55" s="25" t="str">
        <f aca="false">IF($C55="Milestone",IF(AND(Z$7&lt;=$I55,Z$7+6&gt;=$I55),"◆",""),IF(AND($C55="Task",$M55&lt;&gt;"",Z$7&lt;=IF($N55="",$D$4,$N55),Z$7+6&gt;=$M55),"●",""))</f>
        <v/>
      </c>
      <c r="AA55" s="25" t="str">
        <f aca="false">IF($C55="Milestone",IF(AND(AA$7&lt;=$I55,AA$7+6&gt;=$I55),"◆",""),IF(AND($C55="Task",$M55&lt;&gt;"",AA$7&lt;=IF($N55="",$D$4,$N55),AA$7+6&gt;=$M55),"●",""))</f>
        <v/>
      </c>
      <c r="AB55" s="25" t="str">
        <f aca="false">IF($C55="Milestone",IF(AND(AB$7&lt;=$I55,AB$7+6&gt;=$I55),"◆",""),IF(AND($C55="Task",$M55&lt;&gt;"",AB$7&lt;=IF($N55="",$D$4,$N55),AB$7+6&gt;=$M55),"●",""))</f>
        <v/>
      </c>
      <c r="AC55" s="25" t="str">
        <f aca="false">IF($C55="Milestone",IF(AND(AC$7&lt;=$I55,AC$7+6&gt;=$I55),"◆",""),IF(AND($C55="Task",$M55&lt;&gt;"",AC$7&lt;=IF($N55="",$D$4,$N55),AC$7+6&gt;=$M55),"●",""))</f>
        <v/>
      </c>
      <c r="AD55" s="25" t="str">
        <f aca="false">IF($C55="Milestone",IF(AND(AD$7&lt;=$I55,AD$7+6&gt;=$I55),"◆",""),IF(AND($C55="Task",$M55&lt;&gt;"",AD$7&lt;=IF($N55="",$D$4,$N55),AD$7+6&gt;=$M55),"●",""))</f>
        <v/>
      </c>
      <c r="AE55" s="25" t="str">
        <f aca="false">IF($C55="Milestone",IF(AND(AE$7&lt;=$I55,AE$7+6&gt;=$I55),"◆",""),IF(AND($C55="Task",$M55&lt;&gt;"",AE$7&lt;=IF($N55="",$D$4,$N55),AE$7+6&gt;=$M55),"●",""))</f>
        <v/>
      </c>
      <c r="AF55" s="25" t="str">
        <f aca="false">IF($C55="Milestone",IF(AND(AF$7&lt;=$I55,AF$7+6&gt;=$I55),"◆",""),IF(AND($C55="Task",$M55&lt;&gt;"",AF$7&lt;=IF($N55="",$D$4,$N55),AF$7+6&gt;=$M55),"●",""))</f>
        <v/>
      </c>
      <c r="AG55" s="25" t="str">
        <f aca="false">IF($C55="Milestone",IF(AND(AG$7&lt;=$I55,AG$7+6&gt;=$I55),"◆",""),IF(AND($C55="Task",$M55&lt;&gt;"",AG$7&lt;=IF($N55="",$D$4,$N55),AG$7+6&gt;=$M55),"●",""))</f>
        <v/>
      </c>
      <c r="AH55" s="25" t="str">
        <f aca="false">IF($C55="Milestone",IF(AND(AH$7&lt;=$I55,AH$7+6&gt;=$I55),"◆",""),IF(AND($C55="Task",$M55&lt;&gt;"",AH$7&lt;=IF($N55="",$D$4,$N55),AH$7+6&gt;=$M55),"●",""))</f>
        <v/>
      </c>
      <c r="AI55" s="25" t="str">
        <f aca="false">IF($C55="Milestone",IF(AND(AI$7&lt;=$I55,AI$7+6&gt;=$I55),"◆",""),IF(AND($C55="Task",$M55&lt;&gt;"",AI$7&lt;=IF($N55="",$D$4,$N55),AI$7+6&gt;=$M55),"●",""))</f>
        <v/>
      </c>
      <c r="AJ55" s="25" t="str">
        <f aca="false">IF($C55="Milestone",IF(AND(AJ$7&lt;=$I55,AJ$7+6&gt;=$I55),"◆",""),IF(AND($C55="Task",$M55&lt;&gt;"",AJ$7&lt;=IF($N55="",$D$4,$N55),AJ$7+6&gt;=$M55),"●",""))</f>
        <v/>
      </c>
      <c r="AK55" s="25" t="str">
        <f aca="false">IF($C55="Milestone",IF(AND(AK$7&lt;=$I55,AK$7+6&gt;=$I55),"◆",""),IF(AND($C55="Task",$M55&lt;&gt;"",AK$7&lt;=IF($N55="",$D$4,$N55),AK$7+6&gt;=$M55),"●",""))</f>
        <v/>
      </c>
      <c r="AL55" s="25" t="str">
        <f aca="false">IF($C55="Milestone",IF(AND(AL$7&lt;=$I55,AL$7+6&gt;=$I55),"◆",""),IF(AND($C55="Task",$M55&lt;&gt;"",AL$7&lt;=IF($N55="",$D$4,$N55),AL$7+6&gt;=$M55),"●",""))</f>
        <v/>
      </c>
      <c r="AM55" s="25" t="str">
        <f aca="false">IF($C55="Milestone",IF(AND(AM$7&lt;=$I55,AM$7+6&gt;=$I55),"◆",""),IF(AND($C55="Task",$M55&lt;&gt;"",AM$7&lt;=IF($N55="",$D$4,$N55),AM$7+6&gt;=$M55),"●",""))</f>
        <v/>
      </c>
      <c r="AN55" s="25" t="str">
        <f aca="false">IF($C55="Milestone",IF(AND(AN$7&lt;=$I55,AN$7+6&gt;=$I55),"◆",""),IF(AND($C55="Task",$M55&lt;&gt;"",AN$7&lt;=IF($N55="",$D$4,$N55),AN$7+6&gt;=$M55),"●",""))</f>
        <v/>
      </c>
      <c r="AO55" s="25" t="str">
        <f aca="false">IF($C55="Milestone",IF(AND(AO$7&lt;=$I55,AO$7+6&gt;=$I55),"◆",""),IF(AND($C55="Task",$M55&lt;&gt;"",AO$7&lt;=IF($N55="",$D$4,$N55),AO$7+6&gt;=$M55),"●",""))</f>
        <v/>
      </c>
      <c r="AP55" s="25" t="str">
        <f aca="false">IF($C55="Milestone",IF(AND(AP$7&lt;=$I55,AP$7+6&gt;=$I55),"◆",""),IF(AND($C55="Task",$M55&lt;&gt;"",AP$7&lt;=IF($N55="",$D$4,$N55),AP$7+6&gt;=$M55),"●",""))</f>
        <v/>
      </c>
      <c r="AQ55" s="25" t="str">
        <f aca="false">IF($C55="Milestone",IF(AND(AQ$7&lt;=$I55,AQ$7+6&gt;=$I55),"◆",""),IF(AND($C55="Task",$M55&lt;&gt;"",AQ$7&lt;=IF($N55="",$D$4,$N55),AQ$7+6&gt;=$M55),"●",""))</f>
        <v/>
      </c>
      <c r="AR55" s="25" t="str">
        <f aca="false">IF($C55="Milestone",IF(AND(AR$7&lt;=$I55,AR$7+6&gt;=$I55),"◆",""),IF(AND($C55="Task",$M55&lt;&gt;"",AR$7&lt;=IF($N55="",$D$4,$N55),AR$7+6&gt;=$M55),"●",""))</f>
        <v/>
      </c>
      <c r="AS55" s="25" t="str">
        <f aca="false">IF($C55="Milestone",IF(AND(AS$7&lt;=$I55,AS$7+6&gt;=$I55),"◆",""),IF(AND($C55="Task",$M55&lt;&gt;"",AS$7&lt;=IF($N55="",$D$4,$N55),AS$7+6&gt;=$M55),"●",""))</f>
        <v/>
      </c>
      <c r="AT55" s="25" t="str">
        <f aca="false">IF($C55="Milestone",IF(AND(AT$7&lt;=$I55,AT$7+6&gt;=$I55),"◆",""),IF(AND($C55="Task",$M55&lt;&gt;"",AT$7&lt;=IF($N55="",$D$4,$N55),AT$7+6&gt;=$M55),"●",""))</f>
        <v/>
      </c>
      <c r="AU55" s="25" t="str">
        <f aca="false">IF($C55="Milestone",IF(AND(AU$7&lt;=$I55,AU$7+6&gt;=$I55),"◆",""),IF(AND($C55="Task",$M55&lt;&gt;"",AU$7&lt;=IF($N55="",$D$4,$N55),AU$7+6&gt;=$M55),"●",""))</f>
        <v/>
      </c>
      <c r="AV55" s="25" t="str">
        <f aca="false">IF($C55="Milestone",IF(AND(AV$7&lt;=$I55,AV$7+6&gt;=$I55),"◆",""),IF(AND($C55="Task",$M55&lt;&gt;"",AV$7&lt;=IF($N55="",$D$4,$N55),AV$7+6&gt;=$M55),"●",""))</f>
        <v/>
      </c>
      <c r="AW55" s="25" t="str">
        <f aca="false">IF($C55="Milestone",IF(AND(AW$7&lt;=$I55,AW$7+6&gt;=$I55),"◆",""),IF(AND($C55="Task",$M55&lt;&gt;"",AW$7&lt;=IF($N55="",$D$4,$N55),AW$7+6&gt;=$M55),"●",""))</f>
        <v/>
      </c>
      <c r="AX55" s="25" t="str">
        <f aca="false">IF($C55="Milestone",IF(AND(AX$7&lt;=$I55,AX$7+6&gt;=$I55),"◆",""),IF(AND($C55="Task",$M55&lt;&gt;"",AX$7&lt;=IF($N55="",$D$4,$N55),AX$7+6&gt;=$M55),"●",""))</f>
        <v/>
      </c>
      <c r="AY55" s="25" t="str">
        <f aca="false">IF($C55="Milestone",IF(AND(AY$7&lt;=$I55,AY$7+6&gt;=$I55),"◆",""),IF(AND($C55="Task",$M55&lt;&gt;"",AY$7&lt;=IF($N55="",$D$4,$N55),AY$7+6&gt;=$M55),"●",""))</f>
        <v/>
      </c>
      <c r="AZ55" s="25" t="str">
        <f aca="false">IF($C55="Milestone",IF(AND(AZ$7&lt;=$I55,AZ$7+6&gt;=$I55),"◆",""),IF(AND($C55="Task",$M55&lt;&gt;"",AZ$7&lt;=IF($N55="",$D$4,$N55),AZ$7+6&gt;=$M55),"●",""))</f>
        <v/>
      </c>
    </row>
    <row r="56" customFormat="false" ht="18" hidden="false" customHeight="true" outlineLevel="0" collapsed="false">
      <c r="A56" s="18" t="s">
        <v>143</v>
      </c>
      <c r="B56" s="19" t="s">
        <v>144</v>
      </c>
      <c r="C56" s="18" t="s">
        <v>43</v>
      </c>
      <c r="D56" s="18" t="s">
        <v>86</v>
      </c>
      <c r="E56" s="18" t="s">
        <v>59</v>
      </c>
      <c r="F56" s="18" t="s">
        <v>44</v>
      </c>
      <c r="G56" s="20" t="n">
        <v>46444</v>
      </c>
      <c r="H56" s="20" t="n">
        <v>46444</v>
      </c>
      <c r="I56" s="21" t="n">
        <v>46416</v>
      </c>
      <c r="J56" s="21" t="n">
        <v>46416</v>
      </c>
      <c r="K56" s="18" t="str">
        <f aca="false">IF(C56="Task",ROUND((J56-I56+3)/7,0),"")</f>
        <v/>
      </c>
      <c r="L56" s="18"/>
      <c r="M56" s="21"/>
      <c r="N56" s="21"/>
      <c r="O56" s="22"/>
      <c r="P56" s="18" t="str">
        <f aca="false">IF(C56="Break","",IF(C56="Milestone",IF(N56&lt;&gt;"","Done",IF($D$4&gt;J56,"Overdue","Upcoming")),IF(N(O56)&gt;=1,"Done",IF($D$4&lt;I56,"Not started",IF($D$4&gt;J56,"Late",IF(N(O56)+0.1&lt;($D$4-I56+1)/(J56-I56+1),"Behind","On track"))))))</f>
        <v>Upcoming</v>
      </c>
      <c r="Q56" s="23" t="n">
        <f aca="false">IF(C56="Break","",ROUND((IF(N56&lt;&gt;"",N56,J56)-H56)/7,1))</f>
        <v>-4</v>
      </c>
      <c r="R56" s="18" t="str">
        <f aca="false">IF(C56="Milestone",IF(N56&lt;&gt;"","✓",""),IF(AND(C56="Task",N(O56)&gt;=1),"✓",""))</f>
        <v/>
      </c>
      <c r="S56" s="18" t="str">
        <f aca="false">IF(C56="Task",K56*N(O56),"")</f>
        <v/>
      </c>
      <c r="T56" s="24"/>
      <c r="U56" s="25" t="str">
        <f aca="false">IF($C56="Milestone",IF(AND(U$7&lt;=$I56,U$7+6&gt;=$I56),"◆",""),IF(AND($C56="Task",$M56&lt;&gt;"",U$7&lt;=IF($N56="",$D$4,$N56),U$7+6&gt;=$M56),"●",""))</f>
        <v/>
      </c>
      <c r="V56" s="25" t="str">
        <f aca="false">IF($C56="Milestone",IF(AND(V$7&lt;=$I56,V$7+6&gt;=$I56),"◆",""),IF(AND($C56="Task",$M56&lt;&gt;"",V$7&lt;=IF($N56="",$D$4,$N56),V$7+6&gt;=$M56),"●",""))</f>
        <v/>
      </c>
      <c r="W56" s="25" t="str">
        <f aca="false">IF($C56="Milestone",IF(AND(W$7&lt;=$I56,W$7+6&gt;=$I56),"◆",""),IF(AND($C56="Task",$M56&lt;&gt;"",W$7&lt;=IF($N56="",$D$4,$N56),W$7+6&gt;=$M56),"●",""))</f>
        <v/>
      </c>
      <c r="X56" s="25" t="str">
        <f aca="false">IF($C56="Milestone",IF(AND(X$7&lt;=$I56,X$7+6&gt;=$I56),"◆",""),IF(AND($C56="Task",$M56&lt;&gt;"",X$7&lt;=IF($N56="",$D$4,$N56),X$7+6&gt;=$M56),"●",""))</f>
        <v/>
      </c>
      <c r="Y56" s="25" t="str">
        <f aca="false">IF($C56="Milestone",IF(AND(Y$7&lt;=$I56,Y$7+6&gt;=$I56),"◆",""),IF(AND($C56="Task",$M56&lt;&gt;"",Y$7&lt;=IF($N56="",$D$4,$N56),Y$7+6&gt;=$M56),"●",""))</f>
        <v/>
      </c>
      <c r="Z56" s="25" t="str">
        <f aca="false">IF($C56="Milestone",IF(AND(Z$7&lt;=$I56,Z$7+6&gt;=$I56),"◆",""),IF(AND($C56="Task",$M56&lt;&gt;"",Z$7&lt;=IF($N56="",$D$4,$N56),Z$7+6&gt;=$M56),"●",""))</f>
        <v/>
      </c>
      <c r="AA56" s="25" t="str">
        <f aca="false">IF($C56="Milestone",IF(AND(AA$7&lt;=$I56,AA$7+6&gt;=$I56),"◆",""),IF(AND($C56="Task",$M56&lt;&gt;"",AA$7&lt;=IF($N56="",$D$4,$N56),AA$7+6&gt;=$M56),"●",""))</f>
        <v/>
      </c>
      <c r="AB56" s="25" t="str">
        <f aca="false">IF($C56="Milestone",IF(AND(AB$7&lt;=$I56,AB$7+6&gt;=$I56),"◆",""),IF(AND($C56="Task",$M56&lt;&gt;"",AB$7&lt;=IF($N56="",$D$4,$N56),AB$7+6&gt;=$M56),"●",""))</f>
        <v/>
      </c>
      <c r="AC56" s="25" t="str">
        <f aca="false">IF($C56="Milestone",IF(AND(AC$7&lt;=$I56,AC$7+6&gt;=$I56),"◆",""),IF(AND($C56="Task",$M56&lt;&gt;"",AC$7&lt;=IF($N56="",$D$4,$N56),AC$7+6&gt;=$M56),"●",""))</f>
        <v/>
      </c>
      <c r="AD56" s="25" t="str">
        <f aca="false">IF($C56="Milestone",IF(AND(AD$7&lt;=$I56,AD$7+6&gt;=$I56),"◆",""),IF(AND($C56="Task",$M56&lt;&gt;"",AD$7&lt;=IF($N56="",$D$4,$N56),AD$7+6&gt;=$M56),"●",""))</f>
        <v/>
      </c>
      <c r="AE56" s="25" t="str">
        <f aca="false">IF($C56="Milestone",IF(AND(AE$7&lt;=$I56,AE$7+6&gt;=$I56),"◆",""),IF(AND($C56="Task",$M56&lt;&gt;"",AE$7&lt;=IF($N56="",$D$4,$N56),AE$7+6&gt;=$M56),"●",""))</f>
        <v/>
      </c>
      <c r="AF56" s="25" t="str">
        <f aca="false">IF($C56="Milestone",IF(AND(AF$7&lt;=$I56,AF$7+6&gt;=$I56),"◆",""),IF(AND($C56="Task",$M56&lt;&gt;"",AF$7&lt;=IF($N56="",$D$4,$N56),AF$7+6&gt;=$M56),"●",""))</f>
        <v/>
      </c>
      <c r="AG56" s="25" t="str">
        <f aca="false">IF($C56="Milestone",IF(AND(AG$7&lt;=$I56,AG$7+6&gt;=$I56),"◆",""),IF(AND($C56="Task",$M56&lt;&gt;"",AG$7&lt;=IF($N56="",$D$4,$N56),AG$7+6&gt;=$M56),"●",""))</f>
        <v/>
      </c>
      <c r="AH56" s="25" t="str">
        <f aca="false">IF($C56="Milestone",IF(AND(AH$7&lt;=$I56,AH$7+6&gt;=$I56),"◆",""),IF(AND($C56="Task",$M56&lt;&gt;"",AH$7&lt;=IF($N56="",$D$4,$N56),AH$7+6&gt;=$M56),"●",""))</f>
        <v/>
      </c>
      <c r="AI56" s="25" t="str">
        <f aca="false">IF($C56="Milestone",IF(AND(AI$7&lt;=$I56,AI$7+6&gt;=$I56),"◆",""),IF(AND($C56="Task",$M56&lt;&gt;"",AI$7&lt;=IF($N56="",$D$4,$N56),AI$7+6&gt;=$M56),"●",""))</f>
        <v>◆</v>
      </c>
      <c r="AJ56" s="25" t="str">
        <f aca="false">IF($C56="Milestone",IF(AND(AJ$7&lt;=$I56,AJ$7+6&gt;=$I56),"◆",""),IF(AND($C56="Task",$M56&lt;&gt;"",AJ$7&lt;=IF($N56="",$D$4,$N56),AJ$7+6&gt;=$M56),"●",""))</f>
        <v/>
      </c>
      <c r="AK56" s="25" t="str">
        <f aca="false">IF($C56="Milestone",IF(AND(AK$7&lt;=$I56,AK$7+6&gt;=$I56),"◆",""),IF(AND($C56="Task",$M56&lt;&gt;"",AK$7&lt;=IF($N56="",$D$4,$N56),AK$7+6&gt;=$M56),"●",""))</f>
        <v/>
      </c>
      <c r="AL56" s="25" t="str">
        <f aca="false">IF($C56="Milestone",IF(AND(AL$7&lt;=$I56,AL$7+6&gt;=$I56),"◆",""),IF(AND($C56="Task",$M56&lt;&gt;"",AL$7&lt;=IF($N56="",$D$4,$N56),AL$7+6&gt;=$M56),"●",""))</f>
        <v/>
      </c>
      <c r="AM56" s="25" t="str">
        <f aca="false">IF($C56="Milestone",IF(AND(AM$7&lt;=$I56,AM$7+6&gt;=$I56),"◆",""),IF(AND($C56="Task",$M56&lt;&gt;"",AM$7&lt;=IF($N56="",$D$4,$N56),AM$7+6&gt;=$M56),"●",""))</f>
        <v/>
      </c>
      <c r="AN56" s="25" t="str">
        <f aca="false">IF($C56="Milestone",IF(AND(AN$7&lt;=$I56,AN$7+6&gt;=$I56),"◆",""),IF(AND($C56="Task",$M56&lt;&gt;"",AN$7&lt;=IF($N56="",$D$4,$N56),AN$7+6&gt;=$M56),"●",""))</f>
        <v/>
      </c>
      <c r="AO56" s="25" t="str">
        <f aca="false">IF($C56="Milestone",IF(AND(AO$7&lt;=$I56,AO$7+6&gt;=$I56),"◆",""),IF(AND($C56="Task",$M56&lt;&gt;"",AO$7&lt;=IF($N56="",$D$4,$N56),AO$7+6&gt;=$M56),"●",""))</f>
        <v/>
      </c>
      <c r="AP56" s="25" t="str">
        <f aca="false">IF($C56="Milestone",IF(AND(AP$7&lt;=$I56,AP$7+6&gt;=$I56),"◆",""),IF(AND($C56="Task",$M56&lt;&gt;"",AP$7&lt;=IF($N56="",$D$4,$N56),AP$7+6&gt;=$M56),"●",""))</f>
        <v/>
      </c>
      <c r="AQ56" s="25" t="str">
        <f aca="false">IF($C56="Milestone",IF(AND(AQ$7&lt;=$I56,AQ$7+6&gt;=$I56),"◆",""),IF(AND($C56="Task",$M56&lt;&gt;"",AQ$7&lt;=IF($N56="",$D$4,$N56),AQ$7+6&gt;=$M56),"●",""))</f>
        <v/>
      </c>
      <c r="AR56" s="25" t="str">
        <f aca="false">IF($C56="Milestone",IF(AND(AR$7&lt;=$I56,AR$7+6&gt;=$I56),"◆",""),IF(AND($C56="Task",$M56&lt;&gt;"",AR$7&lt;=IF($N56="",$D$4,$N56),AR$7+6&gt;=$M56),"●",""))</f>
        <v/>
      </c>
      <c r="AS56" s="25" t="str">
        <f aca="false">IF($C56="Milestone",IF(AND(AS$7&lt;=$I56,AS$7+6&gt;=$I56),"◆",""),IF(AND($C56="Task",$M56&lt;&gt;"",AS$7&lt;=IF($N56="",$D$4,$N56),AS$7+6&gt;=$M56),"●",""))</f>
        <v/>
      </c>
      <c r="AT56" s="25" t="str">
        <f aca="false">IF($C56="Milestone",IF(AND(AT$7&lt;=$I56,AT$7+6&gt;=$I56),"◆",""),IF(AND($C56="Task",$M56&lt;&gt;"",AT$7&lt;=IF($N56="",$D$4,$N56),AT$7+6&gt;=$M56),"●",""))</f>
        <v/>
      </c>
      <c r="AU56" s="25" t="str">
        <f aca="false">IF($C56="Milestone",IF(AND(AU$7&lt;=$I56,AU$7+6&gt;=$I56),"◆",""),IF(AND($C56="Task",$M56&lt;&gt;"",AU$7&lt;=IF($N56="",$D$4,$N56),AU$7+6&gt;=$M56),"●",""))</f>
        <v/>
      </c>
      <c r="AV56" s="25" t="str">
        <f aca="false">IF($C56="Milestone",IF(AND(AV$7&lt;=$I56,AV$7+6&gt;=$I56),"◆",""),IF(AND($C56="Task",$M56&lt;&gt;"",AV$7&lt;=IF($N56="",$D$4,$N56),AV$7+6&gt;=$M56),"●",""))</f>
        <v/>
      </c>
      <c r="AW56" s="25" t="str">
        <f aca="false">IF($C56="Milestone",IF(AND(AW$7&lt;=$I56,AW$7+6&gt;=$I56),"◆",""),IF(AND($C56="Task",$M56&lt;&gt;"",AW$7&lt;=IF($N56="",$D$4,$N56),AW$7+6&gt;=$M56),"●",""))</f>
        <v/>
      </c>
      <c r="AX56" s="25" t="str">
        <f aca="false">IF($C56="Milestone",IF(AND(AX$7&lt;=$I56,AX$7+6&gt;=$I56),"◆",""),IF(AND($C56="Task",$M56&lt;&gt;"",AX$7&lt;=IF($N56="",$D$4,$N56),AX$7+6&gt;=$M56),"●",""))</f>
        <v/>
      </c>
      <c r="AY56" s="25" t="str">
        <f aca="false">IF($C56="Milestone",IF(AND(AY$7&lt;=$I56,AY$7+6&gt;=$I56),"◆",""),IF(AND($C56="Task",$M56&lt;&gt;"",AY$7&lt;=IF($N56="",$D$4,$N56),AY$7+6&gt;=$M56),"●",""))</f>
        <v/>
      </c>
      <c r="AZ56" s="25" t="str">
        <f aca="false">IF($C56="Milestone",IF(AND(AZ$7&lt;=$I56,AZ$7+6&gt;=$I56),"◆",""),IF(AND($C56="Task",$M56&lt;&gt;"",AZ$7&lt;=IF($N56="",$D$4,$N56),AZ$7+6&gt;=$M56),"●",""))</f>
        <v/>
      </c>
    </row>
    <row r="57" customFormat="false" ht="18" hidden="false" customHeight="true" outlineLevel="0" collapsed="false">
      <c r="A57" s="18" t="s">
        <v>145</v>
      </c>
      <c r="B57" s="19" t="s">
        <v>146</v>
      </c>
      <c r="C57" s="18" t="s">
        <v>20</v>
      </c>
      <c r="D57" s="18" t="s">
        <v>147</v>
      </c>
      <c r="E57" s="18" t="s">
        <v>117</v>
      </c>
      <c r="F57" s="18" t="s">
        <v>50</v>
      </c>
      <c r="G57" s="20" t="n">
        <v>46412</v>
      </c>
      <c r="H57" s="20" t="n">
        <v>46423</v>
      </c>
      <c r="I57" s="21" t="n">
        <v>46363</v>
      </c>
      <c r="J57" s="21" t="n">
        <v>46374</v>
      </c>
      <c r="K57" s="18" t="n">
        <f aca="false">IF(C57="Task",ROUND((J57-I57+3)/7,0),"")</f>
        <v>2</v>
      </c>
      <c r="L57" s="18" t="n">
        <v>1</v>
      </c>
      <c r="M57" s="21"/>
      <c r="N57" s="21"/>
      <c r="O57" s="22"/>
      <c r="P57" s="18" t="str">
        <f aca="false">IF(C57="Break","",IF(C57="Milestone",IF(N57&lt;&gt;"","Done",IF($D$4&gt;J57,"Overdue","Upcoming")),IF(N(O57)&gt;=1,"Done",IF($D$4&lt;I57,"Not started",IF($D$4&gt;J57,"Late",IF(N(O57)+0.1&lt;($D$4-I57+1)/(J57-I57+1),"Behind","On track"))))))</f>
        <v>Not started</v>
      </c>
      <c r="Q57" s="23" t="n">
        <f aca="false">IF(C57="Break","",ROUND((IF(N57&lt;&gt;"",N57,J57)-H57)/7,1))</f>
        <v>-7</v>
      </c>
      <c r="R57" s="18" t="str">
        <f aca="false">IF(C57="Milestone",IF(N57&lt;&gt;"","✓",""),IF(AND(C57="Task",N(O57)&gt;=1),"✓",""))</f>
        <v/>
      </c>
      <c r="S57" s="18" t="n">
        <f aca="false">IF(C57="Task",K57*N(O57),"")</f>
        <v>0</v>
      </c>
      <c r="T57" s="24"/>
      <c r="U57" s="25" t="str">
        <f aca="false">IF($C57="Milestone",IF(AND(U$7&lt;=$I57,U$7+6&gt;=$I57),"◆",""),IF(AND($C57="Task",$M57&lt;&gt;"",U$7&lt;=IF($N57="",$D$4,$N57),U$7+6&gt;=$M57),"●",""))</f>
        <v/>
      </c>
      <c r="V57" s="25" t="str">
        <f aca="false">IF($C57="Milestone",IF(AND(V$7&lt;=$I57,V$7+6&gt;=$I57),"◆",""),IF(AND($C57="Task",$M57&lt;&gt;"",V$7&lt;=IF($N57="",$D$4,$N57),V$7+6&gt;=$M57),"●",""))</f>
        <v/>
      </c>
      <c r="W57" s="25" t="str">
        <f aca="false">IF($C57="Milestone",IF(AND(W$7&lt;=$I57,W$7+6&gt;=$I57),"◆",""),IF(AND($C57="Task",$M57&lt;&gt;"",W$7&lt;=IF($N57="",$D$4,$N57),W$7+6&gt;=$M57),"●",""))</f>
        <v/>
      </c>
      <c r="X57" s="25" t="str">
        <f aca="false">IF($C57="Milestone",IF(AND(X$7&lt;=$I57,X$7+6&gt;=$I57),"◆",""),IF(AND($C57="Task",$M57&lt;&gt;"",X$7&lt;=IF($N57="",$D$4,$N57),X$7+6&gt;=$M57),"●",""))</f>
        <v/>
      </c>
      <c r="Y57" s="25" t="str">
        <f aca="false">IF($C57="Milestone",IF(AND(Y$7&lt;=$I57,Y$7+6&gt;=$I57),"◆",""),IF(AND($C57="Task",$M57&lt;&gt;"",Y$7&lt;=IF($N57="",$D$4,$N57),Y$7+6&gt;=$M57),"●",""))</f>
        <v/>
      </c>
      <c r="Z57" s="25" t="str">
        <f aca="false">IF($C57="Milestone",IF(AND(Z$7&lt;=$I57,Z$7+6&gt;=$I57),"◆",""),IF(AND($C57="Task",$M57&lt;&gt;"",Z$7&lt;=IF($N57="",$D$4,$N57),Z$7+6&gt;=$M57),"●",""))</f>
        <v/>
      </c>
      <c r="AA57" s="25" t="str">
        <f aca="false">IF($C57="Milestone",IF(AND(AA$7&lt;=$I57,AA$7+6&gt;=$I57),"◆",""),IF(AND($C57="Task",$M57&lt;&gt;"",AA$7&lt;=IF($N57="",$D$4,$N57),AA$7+6&gt;=$M57),"●",""))</f>
        <v/>
      </c>
      <c r="AB57" s="25" t="str">
        <f aca="false">IF($C57="Milestone",IF(AND(AB$7&lt;=$I57,AB$7+6&gt;=$I57),"◆",""),IF(AND($C57="Task",$M57&lt;&gt;"",AB$7&lt;=IF($N57="",$D$4,$N57),AB$7+6&gt;=$M57),"●",""))</f>
        <v/>
      </c>
      <c r="AC57" s="25" t="str">
        <f aca="false">IF($C57="Milestone",IF(AND(AC$7&lt;=$I57,AC$7+6&gt;=$I57),"◆",""),IF(AND($C57="Task",$M57&lt;&gt;"",AC$7&lt;=IF($N57="",$D$4,$N57),AC$7+6&gt;=$M57),"●",""))</f>
        <v/>
      </c>
      <c r="AD57" s="25" t="str">
        <f aca="false">IF($C57="Milestone",IF(AND(AD$7&lt;=$I57,AD$7+6&gt;=$I57),"◆",""),IF(AND($C57="Task",$M57&lt;&gt;"",AD$7&lt;=IF($N57="",$D$4,$N57),AD$7+6&gt;=$M57),"●",""))</f>
        <v/>
      </c>
      <c r="AE57" s="25" t="str">
        <f aca="false">IF($C57="Milestone",IF(AND(AE$7&lt;=$I57,AE$7+6&gt;=$I57),"◆",""),IF(AND($C57="Task",$M57&lt;&gt;"",AE$7&lt;=IF($N57="",$D$4,$N57),AE$7+6&gt;=$M57),"●",""))</f>
        <v/>
      </c>
      <c r="AF57" s="25" t="str">
        <f aca="false">IF($C57="Milestone",IF(AND(AF$7&lt;=$I57,AF$7+6&gt;=$I57),"◆",""),IF(AND($C57="Task",$M57&lt;&gt;"",AF$7&lt;=IF($N57="",$D$4,$N57),AF$7+6&gt;=$M57),"●",""))</f>
        <v/>
      </c>
      <c r="AG57" s="25" t="str">
        <f aca="false">IF($C57="Milestone",IF(AND(AG$7&lt;=$I57,AG$7+6&gt;=$I57),"◆",""),IF(AND($C57="Task",$M57&lt;&gt;"",AG$7&lt;=IF($N57="",$D$4,$N57),AG$7+6&gt;=$M57),"●",""))</f>
        <v/>
      </c>
      <c r="AH57" s="25" t="str">
        <f aca="false">IF($C57="Milestone",IF(AND(AH$7&lt;=$I57,AH$7+6&gt;=$I57),"◆",""),IF(AND($C57="Task",$M57&lt;&gt;"",AH$7&lt;=IF($N57="",$D$4,$N57),AH$7+6&gt;=$M57),"●",""))</f>
        <v/>
      </c>
      <c r="AI57" s="25" t="str">
        <f aca="false">IF($C57="Milestone",IF(AND(AI$7&lt;=$I57,AI$7+6&gt;=$I57),"◆",""),IF(AND($C57="Task",$M57&lt;&gt;"",AI$7&lt;=IF($N57="",$D$4,$N57),AI$7+6&gt;=$M57),"●",""))</f>
        <v/>
      </c>
      <c r="AJ57" s="25" t="str">
        <f aca="false">IF($C57="Milestone",IF(AND(AJ$7&lt;=$I57,AJ$7+6&gt;=$I57),"◆",""),IF(AND($C57="Task",$M57&lt;&gt;"",AJ$7&lt;=IF($N57="",$D$4,$N57),AJ$7+6&gt;=$M57),"●",""))</f>
        <v/>
      </c>
      <c r="AK57" s="25" t="str">
        <f aca="false">IF($C57="Milestone",IF(AND(AK$7&lt;=$I57,AK$7+6&gt;=$I57),"◆",""),IF(AND($C57="Task",$M57&lt;&gt;"",AK$7&lt;=IF($N57="",$D$4,$N57),AK$7+6&gt;=$M57),"●",""))</f>
        <v/>
      </c>
      <c r="AL57" s="25" t="str">
        <f aca="false">IF($C57="Milestone",IF(AND(AL$7&lt;=$I57,AL$7+6&gt;=$I57),"◆",""),IF(AND($C57="Task",$M57&lt;&gt;"",AL$7&lt;=IF($N57="",$D$4,$N57),AL$7+6&gt;=$M57),"●",""))</f>
        <v/>
      </c>
      <c r="AM57" s="25" t="str">
        <f aca="false">IF($C57="Milestone",IF(AND(AM$7&lt;=$I57,AM$7+6&gt;=$I57),"◆",""),IF(AND($C57="Task",$M57&lt;&gt;"",AM$7&lt;=IF($N57="",$D$4,$N57),AM$7+6&gt;=$M57),"●",""))</f>
        <v/>
      </c>
      <c r="AN57" s="25" t="str">
        <f aca="false">IF($C57="Milestone",IF(AND(AN$7&lt;=$I57,AN$7+6&gt;=$I57),"◆",""),IF(AND($C57="Task",$M57&lt;&gt;"",AN$7&lt;=IF($N57="",$D$4,$N57),AN$7+6&gt;=$M57),"●",""))</f>
        <v/>
      </c>
      <c r="AO57" s="25" t="str">
        <f aca="false">IF($C57="Milestone",IF(AND(AO$7&lt;=$I57,AO$7+6&gt;=$I57),"◆",""),IF(AND($C57="Task",$M57&lt;&gt;"",AO$7&lt;=IF($N57="",$D$4,$N57),AO$7+6&gt;=$M57),"●",""))</f>
        <v/>
      </c>
      <c r="AP57" s="25" t="str">
        <f aca="false">IF($C57="Milestone",IF(AND(AP$7&lt;=$I57,AP$7+6&gt;=$I57),"◆",""),IF(AND($C57="Task",$M57&lt;&gt;"",AP$7&lt;=IF($N57="",$D$4,$N57),AP$7+6&gt;=$M57),"●",""))</f>
        <v/>
      </c>
      <c r="AQ57" s="25" t="str">
        <f aca="false">IF($C57="Milestone",IF(AND(AQ$7&lt;=$I57,AQ$7+6&gt;=$I57),"◆",""),IF(AND($C57="Task",$M57&lt;&gt;"",AQ$7&lt;=IF($N57="",$D$4,$N57),AQ$7+6&gt;=$M57),"●",""))</f>
        <v/>
      </c>
      <c r="AR57" s="25" t="str">
        <f aca="false">IF($C57="Milestone",IF(AND(AR$7&lt;=$I57,AR$7+6&gt;=$I57),"◆",""),IF(AND($C57="Task",$M57&lt;&gt;"",AR$7&lt;=IF($N57="",$D$4,$N57),AR$7+6&gt;=$M57),"●",""))</f>
        <v/>
      </c>
      <c r="AS57" s="25" t="str">
        <f aca="false">IF($C57="Milestone",IF(AND(AS$7&lt;=$I57,AS$7+6&gt;=$I57),"◆",""),IF(AND($C57="Task",$M57&lt;&gt;"",AS$7&lt;=IF($N57="",$D$4,$N57),AS$7+6&gt;=$M57),"●",""))</f>
        <v/>
      </c>
      <c r="AT57" s="25" t="str">
        <f aca="false">IF($C57="Milestone",IF(AND(AT$7&lt;=$I57,AT$7+6&gt;=$I57),"◆",""),IF(AND($C57="Task",$M57&lt;&gt;"",AT$7&lt;=IF($N57="",$D$4,$N57),AT$7+6&gt;=$M57),"●",""))</f>
        <v/>
      </c>
      <c r="AU57" s="25" t="str">
        <f aca="false">IF($C57="Milestone",IF(AND(AU$7&lt;=$I57,AU$7+6&gt;=$I57),"◆",""),IF(AND($C57="Task",$M57&lt;&gt;"",AU$7&lt;=IF($N57="",$D$4,$N57),AU$7+6&gt;=$M57),"●",""))</f>
        <v/>
      </c>
      <c r="AV57" s="25" t="str">
        <f aca="false">IF($C57="Milestone",IF(AND(AV$7&lt;=$I57,AV$7+6&gt;=$I57),"◆",""),IF(AND($C57="Task",$M57&lt;&gt;"",AV$7&lt;=IF($N57="",$D$4,$N57),AV$7+6&gt;=$M57),"●",""))</f>
        <v/>
      </c>
      <c r="AW57" s="25" t="str">
        <f aca="false">IF($C57="Milestone",IF(AND(AW$7&lt;=$I57,AW$7+6&gt;=$I57),"◆",""),IF(AND($C57="Task",$M57&lt;&gt;"",AW$7&lt;=IF($N57="",$D$4,$N57),AW$7+6&gt;=$M57),"●",""))</f>
        <v/>
      </c>
      <c r="AX57" s="25" t="str">
        <f aca="false">IF($C57="Milestone",IF(AND(AX$7&lt;=$I57,AX$7+6&gt;=$I57),"◆",""),IF(AND($C57="Task",$M57&lt;&gt;"",AX$7&lt;=IF($N57="",$D$4,$N57),AX$7+6&gt;=$M57),"●",""))</f>
        <v/>
      </c>
      <c r="AY57" s="25" t="str">
        <f aca="false">IF($C57="Milestone",IF(AND(AY$7&lt;=$I57,AY$7+6&gt;=$I57),"◆",""),IF(AND($C57="Task",$M57&lt;&gt;"",AY$7&lt;=IF($N57="",$D$4,$N57),AY$7+6&gt;=$M57),"●",""))</f>
        <v/>
      </c>
      <c r="AZ57" s="25" t="str">
        <f aca="false">IF($C57="Milestone",IF(AND(AZ$7&lt;=$I57,AZ$7+6&gt;=$I57),"◆",""),IF(AND($C57="Task",$M57&lt;&gt;"",AZ$7&lt;=IF($N57="",$D$4,$N57),AZ$7+6&gt;=$M57),"●",""))</f>
        <v/>
      </c>
    </row>
    <row r="58" customFormat="false" ht="18" hidden="false" customHeight="true" outlineLevel="0" collapsed="false">
      <c r="A58" s="18" t="s">
        <v>148</v>
      </c>
      <c r="B58" s="19" t="s">
        <v>149</v>
      </c>
      <c r="C58" s="18" t="s">
        <v>20</v>
      </c>
      <c r="D58" s="18" t="s">
        <v>147</v>
      </c>
      <c r="E58" s="18" t="s">
        <v>145</v>
      </c>
      <c r="F58" s="18" t="s">
        <v>50</v>
      </c>
      <c r="G58" s="20" t="n">
        <v>46426</v>
      </c>
      <c r="H58" s="20" t="n">
        <v>46437</v>
      </c>
      <c r="I58" s="21" t="n">
        <v>46412</v>
      </c>
      <c r="J58" s="21" t="n">
        <v>46423</v>
      </c>
      <c r="K58" s="18" t="n">
        <f aca="false">IF(C58="Task",ROUND((J58-I58+3)/7,0),"")</f>
        <v>2</v>
      </c>
      <c r="L58" s="18" t="n">
        <v>1</v>
      </c>
      <c r="M58" s="21"/>
      <c r="N58" s="21"/>
      <c r="O58" s="22"/>
      <c r="P58" s="18" t="str">
        <f aca="false">IF(C58="Break","",IF(C58="Milestone",IF(N58&lt;&gt;"","Done",IF($D$4&gt;J58,"Overdue","Upcoming")),IF(N(O58)&gt;=1,"Done",IF($D$4&lt;I58,"Not started",IF($D$4&gt;J58,"Late",IF(N(O58)+0.1&lt;($D$4-I58+1)/(J58-I58+1),"Behind","On track"))))))</f>
        <v>Not started</v>
      </c>
      <c r="Q58" s="23" t="n">
        <f aca="false">IF(C58="Break","",ROUND((IF(N58&lt;&gt;"",N58,J58)-H58)/7,1))</f>
        <v>-2</v>
      </c>
      <c r="R58" s="18" t="str">
        <f aca="false">IF(C58="Milestone",IF(N58&lt;&gt;"","✓",""),IF(AND(C58="Task",N(O58)&gt;=1),"✓",""))</f>
        <v/>
      </c>
      <c r="S58" s="18" t="n">
        <f aca="false">IF(C58="Task",K58*N(O58),"")</f>
        <v>0</v>
      </c>
      <c r="T58" s="24"/>
      <c r="U58" s="25" t="str">
        <f aca="false">IF($C58="Milestone",IF(AND(U$7&lt;=$I58,U$7+6&gt;=$I58),"◆",""),IF(AND($C58="Task",$M58&lt;&gt;"",U$7&lt;=IF($N58="",$D$4,$N58),U$7+6&gt;=$M58),"●",""))</f>
        <v/>
      </c>
      <c r="V58" s="25" t="str">
        <f aca="false">IF($C58="Milestone",IF(AND(V$7&lt;=$I58,V$7+6&gt;=$I58),"◆",""),IF(AND($C58="Task",$M58&lt;&gt;"",V$7&lt;=IF($N58="",$D$4,$N58),V$7+6&gt;=$M58),"●",""))</f>
        <v/>
      </c>
      <c r="W58" s="25" t="str">
        <f aca="false">IF($C58="Milestone",IF(AND(W$7&lt;=$I58,W$7+6&gt;=$I58),"◆",""),IF(AND($C58="Task",$M58&lt;&gt;"",W$7&lt;=IF($N58="",$D$4,$N58),W$7+6&gt;=$M58),"●",""))</f>
        <v/>
      </c>
      <c r="X58" s="25" t="str">
        <f aca="false">IF($C58="Milestone",IF(AND(X$7&lt;=$I58,X$7+6&gt;=$I58),"◆",""),IF(AND($C58="Task",$M58&lt;&gt;"",X$7&lt;=IF($N58="",$D$4,$N58),X$7+6&gt;=$M58),"●",""))</f>
        <v/>
      </c>
      <c r="Y58" s="25" t="str">
        <f aca="false">IF($C58="Milestone",IF(AND(Y$7&lt;=$I58,Y$7+6&gt;=$I58),"◆",""),IF(AND($C58="Task",$M58&lt;&gt;"",Y$7&lt;=IF($N58="",$D$4,$N58),Y$7+6&gt;=$M58),"●",""))</f>
        <v/>
      </c>
      <c r="Z58" s="25" t="str">
        <f aca="false">IF($C58="Milestone",IF(AND(Z$7&lt;=$I58,Z$7+6&gt;=$I58),"◆",""),IF(AND($C58="Task",$M58&lt;&gt;"",Z$7&lt;=IF($N58="",$D$4,$N58),Z$7+6&gt;=$M58),"●",""))</f>
        <v/>
      </c>
      <c r="AA58" s="25" t="str">
        <f aca="false">IF($C58="Milestone",IF(AND(AA$7&lt;=$I58,AA$7+6&gt;=$I58),"◆",""),IF(AND($C58="Task",$M58&lt;&gt;"",AA$7&lt;=IF($N58="",$D$4,$N58),AA$7+6&gt;=$M58),"●",""))</f>
        <v/>
      </c>
      <c r="AB58" s="25" t="str">
        <f aca="false">IF($C58="Milestone",IF(AND(AB$7&lt;=$I58,AB$7+6&gt;=$I58),"◆",""),IF(AND($C58="Task",$M58&lt;&gt;"",AB$7&lt;=IF($N58="",$D$4,$N58),AB$7+6&gt;=$M58),"●",""))</f>
        <v/>
      </c>
      <c r="AC58" s="25" t="str">
        <f aca="false">IF($C58="Milestone",IF(AND(AC$7&lt;=$I58,AC$7+6&gt;=$I58),"◆",""),IF(AND($C58="Task",$M58&lt;&gt;"",AC$7&lt;=IF($N58="",$D$4,$N58),AC$7+6&gt;=$M58),"●",""))</f>
        <v/>
      </c>
      <c r="AD58" s="25" t="str">
        <f aca="false">IF($C58="Milestone",IF(AND(AD$7&lt;=$I58,AD$7+6&gt;=$I58),"◆",""),IF(AND($C58="Task",$M58&lt;&gt;"",AD$7&lt;=IF($N58="",$D$4,$N58),AD$7+6&gt;=$M58),"●",""))</f>
        <v/>
      </c>
      <c r="AE58" s="25" t="str">
        <f aca="false">IF($C58="Milestone",IF(AND(AE$7&lt;=$I58,AE$7+6&gt;=$I58),"◆",""),IF(AND($C58="Task",$M58&lt;&gt;"",AE$7&lt;=IF($N58="",$D$4,$N58),AE$7+6&gt;=$M58),"●",""))</f>
        <v/>
      </c>
      <c r="AF58" s="25" t="str">
        <f aca="false">IF($C58="Milestone",IF(AND(AF$7&lt;=$I58,AF$7+6&gt;=$I58),"◆",""),IF(AND($C58="Task",$M58&lt;&gt;"",AF$7&lt;=IF($N58="",$D$4,$N58),AF$7+6&gt;=$M58),"●",""))</f>
        <v/>
      </c>
      <c r="AG58" s="25" t="str">
        <f aca="false">IF($C58="Milestone",IF(AND(AG$7&lt;=$I58,AG$7+6&gt;=$I58),"◆",""),IF(AND($C58="Task",$M58&lt;&gt;"",AG$7&lt;=IF($N58="",$D$4,$N58),AG$7+6&gt;=$M58),"●",""))</f>
        <v/>
      </c>
      <c r="AH58" s="25" t="str">
        <f aca="false">IF($C58="Milestone",IF(AND(AH$7&lt;=$I58,AH$7+6&gt;=$I58),"◆",""),IF(AND($C58="Task",$M58&lt;&gt;"",AH$7&lt;=IF($N58="",$D$4,$N58),AH$7+6&gt;=$M58),"●",""))</f>
        <v/>
      </c>
      <c r="AI58" s="25" t="str">
        <f aca="false">IF($C58="Milestone",IF(AND(AI$7&lt;=$I58,AI$7+6&gt;=$I58),"◆",""),IF(AND($C58="Task",$M58&lt;&gt;"",AI$7&lt;=IF($N58="",$D$4,$N58),AI$7+6&gt;=$M58),"●",""))</f>
        <v/>
      </c>
      <c r="AJ58" s="25" t="str">
        <f aca="false">IF($C58="Milestone",IF(AND(AJ$7&lt;=$I58,AJ$7+6&gt;=$I58),"◆",""),IF(AND($C58="Task",$M58&lt;&gt;"",AJ$7&lt;=IF($N58="",$D$4,$N58),AJ$7+6&gt;=$M58),"●",""))</f>
        <v/>
      </c>
      <c r="AK58" s="25" t="str">
        <f aca="false">IF($C58="Milestone",IF(AND(AK$7&lt;=$I58,AK$7+6&gt;=$I58),"◆",""),IF(AND($C58="Task",$M58&lt;&gt;"",AK$7&lt;=IF($N58="",$D$4,$N58),AK$7+6&gt;=$M58),"●",""))</f>
        <v/>
      </c>
      <c r="AL58" s="25" t="str">
        <f aca="false">IF($C58="Milestone",IF(AND(AL$7&lt;=$I58,AL$7+6&gt;=$I58),"◆",""),IF(AND($C58="Task",$M58&lt;&gt;"",AL$7&lt;=IF($N58="",$D$4,$N58),AL$7+6&gt;=$M58),"●",""))</f>
        <v/>
      </c>
      <c r="AM58" s="25" t="str">
        <f aca="false">IF($C58="Milestone",IF(AND(AM$7&lt;=$I58,AM$7+6&gt;=$I58),"◆",""),IF(AND($C58="Task",$M58&lt;&gt;"",AM$7&lt;=IF($N58="",$D$4,$N58),AM$7+6&gt;=$M58),"●",""))</f>
        <v/>
      </c>
      <c r="AN58" s="25" t="str">
        <f aca="false">IF($C58="Milestone",IF(AND(AN$7&lt;=$I58,AN$7+6&gt;=$I58),"◆",""),IF(AND($C58="Task",$M58&lt;&gt;"",AN$7&lt;=IF($N58="",$D$4,$N58),AN$7+6&gt;=$M58),"●",""))</f>
        <v/>
      </c>
      <c r="AO58" s="25" t="str">
        <f aca="false">IF($C58="Milestone",IF(AND(AO$7&lt;=$I58,AO$7+6&gt;=$I58),"◆",""),IF(AND($C58="Task",$M58&lt;&gt;"",AO$7&lt;=IF($N58="",$D$4,$N58),AO$7+6&gt;=$M58),"●",""))</f>
        <v/>
      </c>
      <c r="AP58" s="25" t="str">
        <f aca="false">IF($C58="Milestone",IF(AND(AP$7&lt;=$I58,AP$7+6&gt;=$I58),"◆",""),IF(AND($C58="Task",$M58&lt;&gt;"",AP$7&lt;=IF($N58="",$D$4,$N58),AP$7+6&gt;=$M58),"●",""))</f>
        <v/>
      </c>
      <c r="AQ58" s="25" t="str">
        <f aca="false">IF($C58="Milestone",IF(AND(AQ$7&lt;=$I58,AQ$7+6&gt;=$I58),"◆",""),IF(AND($C58="Task",$M58&lt;&gt;"",AQ$7&lt;=IF($N58="",$D$4,$N58),AQ$7+6&gt;=$M58),"●",""))</f>
        <v/>
      </c>
      <c r="AR58" s="25" t="str">
        <f aca="false">IF($C58="Milestone",IF(AND(AR$7&lt;=$I58,AR$7+6&gt;=$I58),"◆",""),IF(AND($C58="Task",$M58&lt;&gt;"",AR$7&lt;=IF($N58="",$D$4,$N58),AR$7+6&gt;=$M58),"●",""))</f>
        <v/>
      </c>
      <c r="AS58" s="25" t="str">
        <f aca="false">IF($C58="Milestone",IF(AND(AS$7&lt;=$I58,AS$7+6&gt;=$I58),"◆",""),IF(AND($C58="Task",$M58&lt;&gt;"",AS$7&lt;=IF($N58="",$D$4,$N58),AS$7+6&gt;=$M58),"●",""))</f>
        <v/>
      </c>
      <c r="AT58" s="25" t="str">
        <f aca="false">IF($C58="Milestone",IF(AND(AT$7&lt;=$I58,AT$7+6&gt;=$I58),"◆",""),IF(AND($C58="Task",$M58&lt;&gt;"",AT$7&lt;=IF($N58="",$D$4,$N58),AT$7+6&gt;=$M58),"●",""))</f>
        <v/>
      </c>
      <c r="AU58" s="25" t="str">
        <f aca="false">IF($C58="Milestone",IF(AND(AU$7&lt;=$I58,AU$7+6&gt;=$I58),"◆",""),IF(AND($C58="Task",$M58&lt;&gt;"",AU$7&lt;=IF($N58="",$D$4,$N58),AU$7+6&gt;=$M58),"●",""))</f>
        <v/>
      </c>
      <c r="AV58" s="25" t="str">
        <f aca="false">IF($C58="Milestone",IF(AND(AV$7&lt;=$I58,AV$7+6&gt;=$I58),"◆",""),IF(AND($C58="Task",$M58&lt;&gt;"",AV$7&lt;=IF($N58="",$D$4,$N58),AV$7+6&gt;=$M58),"●",""))</f>
        <v/>
      </c>
      <c r="AW58" s="25" t="str">
        <f aca="false">IF($C58="Milestone",IF(AND(AW$7&lt;=$I58,AW$7+6&gt;=$I58),"◆",""),IF(AND($C58="Task",$M58&lt;&gt;"",AW$7&lt;=IF($N58="",$D$4,$N58),AW$7+6&gt;=$M58),"●",""))</f>
        <v/>
      </c>
      <c r="AX58" s="25" t="str">
        <f aca="false">IF($C58="Milestone",IF(AND(AX$7&lt;=$I58,AX$7+6&gt;=$I58),"◆",""),IF(AND($C58="Task",$M58&lt;&gt;"",AX$7&lt;=IF($N58="",$D$4,$N58),AX$7+6&gt;=$M58),"●",""))</f>
        <v/>
      </c>
      <c r="AY58" s="25" t="str">
        <f aca="false">IF($C58="Milestone",IF(AND(AY$7&lt;=$I58,AY$7+6&gt;=$I58),"◆",""),IF(AND($C58="Task",$M58&lt;&gt;"",AY$7&lt;=IF($N58="",$D$4,$N58),AY$7+6&gt;=$M58),"●",""))</f>
        <v/>
      </c>
      <c r="AZ58" s="25" t="str">
        <f aca="false">IF($C58="Milestone",IF(AND(AZ$7&lt;=$I58,AZ$7+6&gt;=$I58),"◆",""),IF(AND($C58="Task",$M58&lt;&gt;"",AZ$7&lt;=IF($N58="",$D$4,$N58),AZ$7+6&gt;=$M58),"●",""))</f>
        <v/>
      </c>
    </row>
    <row r="59" customFormat="false" ht="18" hidden="false" customHeight="true" outlineLevel="0" collapsed="false">
      <c r="A59" s="18" t="s">
        <v>150</v>
      </c>
      <c r="B59" s="19" t="s">
        <v>151</v>
      </c>
      <c r="C59" s="18" t="s">
        <v>20</v>
      </c>
      <c r="D59" s="18" t="s">
        <v>147</v>
      </c>
      <c r="E59" s="18" t="s">
        <v>148</v>
      </c>
      <c r="F59" s="18" t="s">
        <v>50</v>
      </c>
      <c r="G59" s="20" t="n">
        <v>46440</v>
      </c>
      <c r="H59" s="20" t="n">
        <v>46444</v>
      </c>
      <c r="I59" s="21" t="n">
        <v>46419</v>
      </c>
      <c r="J59" s="21" t="n">
        <v>46423</v>
      </c>
      <c r="K59" s="18" t="n">
        <f aca="false">IF(C59="Task",ROUND((J59-I59+3)/7,0),"")</f>
        <v>1</v>
      </c>
      <c r="L59" s="18" t="n">
        <v>1</v>
      </c>
      <c r="M59" s="21"/>
      <c r="N59" s="21"/>
      <c r="O59" s="22"/>
      <c r="P59" s="18" t="str">
        <f aca="false">IF(C59="Break","",IF(C59="Milestone",IF(N59&lt;&gt;"","Done",IF($D$4&gt;J59,"Overdue","Upcoming")),IF(N(O59)&gt;=1,"Done",IF($D$4&lt;I59,"Not started",IF($D$4&gt;J59,"Late",IF(N(O59)+0.1&lt;($D$4-I59+1)/(J59-I59+1),"Behind","On track"))))))</f>
        <v>Not started</v>
      </c>
      <c r="Q59" s="23" t="n">
        <f aca="false">IF(C59="Break","",ROUND((IF(N59&lt;&gt;"",N59,J59)-H59)/7,1))</f>
        <v>-3</v>
      </c>
      <c r="R59" s="18" t="str">
        <f aca="false">IF(C59="Milestone",IF(N59&lt;&gt;"","✓",""),IF(AND(C59="Task",N(O59)&gt;=1),"✓",""))</f>
        <v/>
      </c>
      <c r="S59" s="18" t="n">
        <f aca="false">IF(C59="Task",K59*N(O59),"")</f>
        <v>0</v>
      </c>
      <c r="T59" s="24"/>
      <c r="U59" s="25" t="str">
        <f aca="false">IF($C59="Milestone",IF(AND(U$7&lt;=$I59,U$7+6&gt;=$I59),"◆",""),IF(AND($C59="Task",$M59&lt;&gt;"",U$7&lt;=IF($N59="",$D$4,$N59),U$7+6&gt;=$M59),"●",""))</f>
        <v/>
      </c>
      <c r="V59" s="25" t="str">
        <f aca="false">IF($C59="Milestone",IF(AND(V$7&lt;=$I59,V$7+6&gt;=$I59),"◆",""),IF(AND($C59="Task",$M59&lt;&gt;"",V$7&lt;=IF($N59="",$D$4,$N59),V$7+6&gt;=$M59),"●",""))</f>
        <v/>
      </c>
      <c r="W59" s="25" t="str">
        <f aca="false">IF($C59="Milestone",IF(AND(W$7&lt;=$I59,W$7+6&gt;=$I59),"◆",""),IF(AND($C59="Task",$M59&lt;&gt;"",W$7&lt;=IF($N59="",$D$4,$N59),W$7+6&gt;=$M59),"●",""))</f>
        <v/>
      </c>
      <c r="X59" s="25" t="str">
        <f aca="false">IF($C59="Milestone",IF(AND(X$7&lt;=$I59,X$7+6&gt;=$I59),"◆",""),IF(AND($C59="Task",$M59&lt;&gt;"",X$7&lt;=IF($N59="",$D$4,$N59),X$7+6&gt;=$M59),"●",""))</f>
        <v/>
      </c>
      <c r="Y59" s="25" t="str">
        <f aca="false">IF($C59="Milestone",IF(AND(Y$7&lt;=$I59,Y$7+6&gt;=$I59),"◆",""),IF(AND($C59="Task",$M59&lt;&gt;"",Y$7&lt;=IF($N59="",$D$4,$N59),Y$7+6&gt;=$M59),"●",""))</f>
        <v/>
      </c>
      <c r="Z59" s="25" t="str">
        <f aca="false">IF($C59="Milestone",IF(AND(Z$7&lt;=$I59,Z$7+6&gt;=$I59),"◆",""),IF(AND($C59="Task",$M59&lt;&gt;"",Z$7&lt;=IF($N59="",$D$4,$N59),Z$7+6&gt;=$M59),"●",""))</f>
        <v/>
      </c>
      <c r="AA59" s="25" t="str">
        <f aca="false">IF($C59="Milestone",IF(AND(AA$7&lt;=$I59,AA$7+6&gt;=$I59),"◆",""),IF(AND($C59="Task",$M59&lt;&gt;"",AA$7&lt;=IF($N59="",$D$4,$N59),AA$7+6&gt;=$M59),"●",""))</f>
        <v/>
      </c>
      <c r="AB59" s="25" t="str">
        <f aca="false">IF($C59="Milestone",IF(AND(AB$7&lt;=$I59,AB$7+6&gt;=$I59),"◆",""),IF(AND($C59="Task",$M59&lt;&gt;"",AB$7&lt;=IF($N59="",$D$4,$N59),AB$7+6&gt;=$M59),"●",""))</f>
        <v/>
      </c>
      <c r="AC59" s="25" t="str">
        <f aca="false">IF($C59="Milestone",IF(AND(AC$7&lt;=$I59,AC$7+6&gt;=$I59),"◆",""),IF(AND($C59="Task",$M59&lt;&gt;"",AC$7&lt;=IF($N59="",$D$4,$N59),AC$7+6&gt;=$M59),"●",""))</f>
        <v/>
      </c>
      <c r="AD59" s="25" t="str">
        <f aca="false">IF($C59="Milestone",IF(AND(AD$7&lt;=$I59,AD$7+6&gt;=$I59),"◆",""),IF(AND($C59="Task",$M59&lt;&gt;"",AD$7&lt;=IF($N59="",$D$4,$N59),AD$7+6&gt;=$M59),"●",""))</f>
        <v/>
      </c>
      <c r="AE59" s="25" t="str">
        <f aca="false">IF($C59="Milestone",IF(AND(AE$7&lt;=$I59,AE$7+6&gt;=$I59),"◆",""),IF(AND($C59="Task",$M59&lt;&gt;"",AE$7&lt;=IF($N59="",$D$4,$N59),AE$7+6&gt;=$M59),"●",""))</f>
        <v/>
      </c>
      <c r="AF59" s="25" t="str">
        <f aca="false">IF($C59="Milestone",IF(AND(AF$7&lt;=$I59,AF$7+6&gt;=$I59),"◆",""),IF(AND($C59="Task",$M59&lt;&gt;"",AF$7&lt;=IF($N59="",$D$4,$N59),AF$7+6&gt;=$M59),"●",""))</f>
        <v/>
      </c>
      <c r="AG59" s="25" t="str">
        <f aca="false">IF($C59="Milestone",IF(AND(AG$7&lt;=$I59,AG$7+6&gt;=$I59),"◆",""),IF(AND($C59="Task",$M59&lt;&gt;"",AG$7&lt;=IF($N59="",$D$4,$N59),AG$7+6&gt;=$M59),"●",""))</f>
        <v/>
      </c>
      <c r="AH59" s="25" t="str">
        <f aca="false">IF($C59="Milestone",IF(AND(AH$7&lt;=$I59,AH$7+6&gt;=$I59),"◆",""),IF(AND($C59="Task",$M59&lt;&gt;"",AH$7&lt;=IF($N59="",$D$4,$N59),AH$7+6&gt;=$M59),"●",""))</f>
        <v/>
      </c>
      <c r="AI59" s="25" t="str">
        <f aca="false">IF($C59="Milestone",IF(AND(AI$7&lt;=$I59,AI$7+6&gt;=$I59),"◆",""),IF(AND($C59="Task",$M59&lt;&gt;"",AI$7&lt;=IF($N59="",$D$4,$N59),AI$7+6&gt;=$M59),"●",""))</f>
        <v/>
      </c>
      <c r="AJ59" s="25" t="str">
        <f aca="false">IF($C59="Milestone",IF(AND(AJ$7&lt;=$I59,AJ$7+6&gt;=$I59),"◆",""),IF(AND($C59="Task",$M59&lt;&gt;"",AJ$7&lt;=IF($N59="",$D$4,$N59),AJ$7+6&gt;=$M59),"●",""))</f>
        <v/>
      </c>
      <c r="AK59" s="25" t="str">
        <f aca="false">IF($C59="Milestone",IF(AND(AK$7&lt;=$I59,AK$7+6&gt;=$I59),"◆",""),IF(AND($C59="Task",$M59&lt;&gt;"",AK$7&lt;=IF($N59="",$D$4,$N59),AK$7+6&gt;=$M59),"●",""))</f>
        <v/>
      </c>
      <c r="AL59" s="25" t="str">
        <f aca="false">IF($C59="Milestone",IF(AND(AL$7&lt;=$I59,AL$7+6&gt;=$I59),"◆",""),IF(AND($C59="Task",$M59&lt;&gt;"",AL$7&lt;=IF($N59="",$D$4,$N59),AL$7+6&gt;=$M59),"●",""))</f>
        <v/>
      </c>
      <c r="AM59" s="25" t="str">
        <f aca="false">IF($C59="Milestone",IF(AND(AM$7&lt;=$I59,AM$7+6&gt;=$I59),"◆",""),IF(AND($C59="Task",$M59&lt;&gt;"",AM$7&lt;=IF($N59="",$D$4,$N59),AM$7+6&gt;=$M59),"●",""))</f>
        <v/>
      </c>
      <c r="AN59" s="25" t="str">
        <f aca="false">IF($C59="Milestone",IF(AND(AN$7&lt;=$I59,AN$7+6&gt;=$I59),"◆",""),IF(AND($C59="Task",$M59&lt;&gt;"",AN$7&lt;=IF($N59="",$D$4,$N59),AN$7+6&gt;=$M59),"●",""))</f>
        <v/>
      </c>
      <c r="AO59" s="25" t="str">
        <f aca="false">IF($C59="Milestone",IF(AND(AO$7&lt;=$I59,AO$7+6&gt;=$I59),"◆",""),IF(AND($C59="Task",$M59&lt;&gt;"",AO$7&lt;=IF($N59="",$D$4,$N59),AO$7+6&gt;=$M59),"●",""))</f>
        <v/>
      </c>
      <c r="AP59" s="25" t="str">
        <f aca="false">IF($C59="Milestone",IF(AND(AP$7&lt;=$I59,AP$7+6&gt;=$I59),"◆",""),IF(AND($C59="Task",$M59&lt;&gt;"",AP$7&lt;=IF($N59="",$D$4,$N59),AP$7+6&gt;=$M59),"●",""))</f>
        <v/>
      </c>
      <c r="AQ59" s="25" t="str">
        <f aca="false">IF($C59="Milestone",IF(AND(AQ$7&lt;=$I59,AQ$7+6&gt;=$I59),"◆",""),IF(AND($C59="Task",$M59&lt;&gt;"",AQ$7&lt;=IF($N59="",$D$4,$N59),AQ$7+6&gt;=$M59),"●",""))</f>
        <v/>
      </c>
      <c r="AR59" s="25" t="str">
        <f aca="false">IF($C59="Milestone",IF(AND(AR$7&lt;=$I59,AR$7+6&gt;=$I59),"◆",""),IF(AND($C59="Task",$M59&lt;&gt;"",AR$7&lt;=IF($N59="",$D$4,$N59),AR$7+6&gt;=$M59),"●",""))</f>
        <v/>
      </c>
      <c r="AS59" s="25" t="str">
        <f aca="false">IF($C59="Milestone",IF(AND(AS$7&lt;=$I59,AS$7+6&gt;=$I59),"◆",""),IF(AND($C59="Task",$M59&lt;&gt;"",AS$7&lt;=IF($N59="",$D$4,$N59),AS$7+6&gt;=$M59),"●",""))</f>
        <v/>
      </c>
      <c r="AT59" s="25" t="str">
        <f aca="false">IF($C59="Milestone",IF(AND(AT$7&lt;=$I59,AT$7+6&gt;=$I59),"◆",""),IF(AND($C59="Task",$M59&lt;&gt;"",AT$7&lt;=IF($N59="",$D$4,$N59),AT$7+6&gt;=$M59),"●",""))</f>
        <v/>
      </c>
      <c r="AU59" s="25" t="str">
        <f aca="false">IF($C59="Milestone",IF(AND(AU$7&lt;=$I59,AU$7+6&gt;=$I59),"◆",""),IF(AND($C59="Task",$M59&lt;&gt;"",AU$7&lt;=IF($N59="",$D$4,$N59),AU$7+6&gt;=$M59),"●",""))</f>
        <v/>
      </c>
      <c r="AV59" s="25" t="str">
        <f aca="false">IF($C59="Milestone",IF(AND(AV$7&lt;=$I59,AV$7+6&gt;=$I59),"◆",""),IF(AND($C59="Task",$M59&lt;&gt;"",AV$7&lt;=IF($N59="",$D$4,$N59),AV$7+6&gt;=$M59),"●",""))</f>
        <v/>
      </c>
      <c r="AW59" s="25" t="str">
        <f aca="false">IF($C59="Milestone",IF(AND(AW$7&lt;=$I59,AW$7+6&gt;=$I59),"◆",""),IF(AND($C59="Task",$M59&lt;&gt;"",AW$7&lt;=IF($N59="",$D$4,$N59),AW$7+6&gt;=$M59),"●",""))</f>
        <v/>
      </c>
      <c r="AX59" s="25" t="str">
        <f aca="false">IF($C59="Milestone",IF(AND(AX$7&lt;=$I59,AX$7+6&gt;=$I59),"◆",""),IF(AND($C59="Task",$M59&lt;&gt;"",AX$7&lt;=IF($N59="",$D$4,$N59),AX$7+6&gt;=$M59),"●",""))</f>
        <v/>
      </c>
      <c r="AY59" s="25" t="str">
        <f aca="false">IF($C59="Milestone",IF(AND(AY$7&lt;=$I59,AY$7+6&gt;=$I59),"◆",""),IF(AND($C59="Task",$M59&lt;&gt;"",AY$7&lt;=IF($N59="",$D$4,$N59),AY$7+6&gt;=$M59),"●",""))</f>
        <v/>
      </c>
      <c r="AZ59" s="25" t="str">
        <f aca="false">IF($C59="Milestone",IF(AND(AZ$7&lt;=$I59,AZ$7+6&gt;=$I59),"◆",""),IF(AND($C59="Task",$M59&lt;&gt;"",AZ$7&lt;=IF($N59="",$D$4,$N59),AZ$7+6&gt;=$M59),"●",""))</f>
        <v/>
      </c>
    </row>
    <row r="60" customFormat="false" ht="18" hidden="false" customHeight="true" outlineLevel="0" collapsed="false">
      <c r="A60" s="18" t="s">
        <v>152</v>
      </c>
      <c r="B60" s="19" t="s">
        <v>153</v>
      </c>
      <c r="C60" s="18" t="s">
        <v>43</v>
      </c>
      <c r="D60" s="18" t="s">
        <v>147</v>
      </c>
      <c r="E60" s="18" t="s">
        <v>150</v>
      </c>
      <c r="F60" s="18" t="s">
        <v>50</v>
      </c>
      <c r="G60" s="20" t="n">
        <v>46451</v>
      </c>
      <c r="H60" s="20" t="n">
        <v>46451</v>
      </c>
      <c r="I60" s="21" t="n">
        <v>46423</v>
      </c>
      <c r="J60" s="21" t="n">
        <v>46423</v>
      </c>
      <c r="K60" s="18" t="str">
        <f aca="false">IF(C60="Task",ROUND((J60-I60+3)/7,0),"")</f>
        <v/>
      </c>
      <c r="L60" s="18"/>
      <c r="M60" s="21"/>
      <c r="N60" s="21"/>
      <c r="O60" s="22"/>
      <c r="P60" s="18" t="str">
        <f aca="false">IF(C60="Break","",IF(C60="Milestone",IF(N60&lt;&gt;"","Done",IF($D$4&gt;J60,"Overdue","Upcoming")),IF(N(O60)&gt;=1,"Done",IF($D$4&lt;I60,"Not started",IF($D$4&gt;J60,"Late",IF(N(O60)+0.1&lt;($D$4-I60+1)/(J60-I60+1),"Behind","On track"))))))</f>
        <v>Upcoming</v>
      </c>
      <c r="Q60" s="23" t="n">
        <f aca="false">IF(C60="Break","",ROUND((IF(N60&lt;&gt;"",N60,J60)-H60)/7,1))</f>
        <v>-4</v>
      </c>
      <c r="R60" s="18" t="str">
        <f aca="false">IF(C60="Milestone",IF(N60&lt;&gt;"","✓",""),IF(AND(C60="Task",N(O60)&gt;=1),"✓",""))</f>
        <v/>
      </c>
      <c r="S60" s="18" t="str">
        <f aca="false">IF(C60="Task",K60*N(O60),"")</f>
        <v/>
      </c>
      <c r="T60" s="24"/>
      <c r="U60" s="25" t="str">
        <f aca="false">IF($C60="Milestone",IF(AND(U$7&lt;=$I60,U$7+6&gt;=$I60),"◆",""),IF(AND($C60="Task",$M60&lt;&gt;"",U$7&lt;=IF($N60="",$D$4,$N60),U$7+6&gt;=$M60),"●",""))</f>
        <v/>
      </c>
      <c r="V60" s="25" t="str">
        <f aca="false">IF($C60="Milestone",IF(AND(V$7&lt;=$I60,V$7+6&gt;=$I60),"◆",""),IF(AND($C60="Task",$M60&lt;&gt;"",V$7&lt;=IF($N60="",$D$4,$N60),V$7+6&gt;=$M60),"●",""))</f>
        <v/>
      </c>
      <c r="W60" s="25" t="str">
        <f aca="false">IF($C60="Milestone",IF(AND(W$7&lt;=$I60,W$7+6&gt;=$I60),"◆",""),IF(AND($C60="Task",$M60&lt;&gt;"",W$7&lt;=IF($N60="",$D$4,$N60),W$7+6&gt;=$M60),"●",""))</f>
        <v/>
      </c>
      <c r="X60" s="25" t="str">
        <f aca="false">IF($C60="Milestone",IF(AND(X$7&lt;=$I60,X$7+6&gt;=$I60),"◆",""),IF(AND($C60="Task",$M60&lt;&gt;"",X$7&lt;=IF($N60="",$D$4,$N60),X$7+6&gt;=$M60),"●",""))</f>
        <v/>
      </c>
      <c r="Y60" s="25" t="str">
        <f aca="false">IF($C60="Milestone",IF(AND(Y$7&lt;=$I60,Y$7+6&gt;=$I60),"◆",""),IF(AND($C60="Task",$M60&lt;&gt;"",Y$7&lt;=IF($N60="",$D$4,$N60),Y$7+6&gt;=$M60),"●",""))</f>
        <v/>
      </c>
      <c r="Z60" s="25" t="str">
        <f aca="false">IF($C60="Milestone",IF(AND(Z$7&lt;=$I60,Z$7+6&gt;=$I60),"◆",""),IF(AND($C60="Task",$M60&lt;&gt;"",Z$7&lt;=IF($N60="",$D$4,$N60),Z$7+6&gt;=$M60),"●",""))</f>
        <v/>
      </c>
      <c r="AA60" s="25" t="str">
        <f aca="false">IF($C60="Milestone",IF(AND(AA$7&lt;=$I60,AA$7+6&gt;=$I60),"◆",""),IF(AND($C60="Task",$M60&lt;&gt;"",AA$7&lt;=IF($N60="",$D$4,$N60),AA$7+6&gt;=$M60),"●",""))</f>
        <v/>
      </c>
      <c r="AB60" s="25" t="str">
        <f aca="false">IF($C60="Milestone",IF(AND(AB$7&lt;=$I60,AB$7+6&gt;=$I60),"◆",""),IF(AND($C60="Task",$M60&lt;&gt;"",AB$7&lt;=IF($N60="",$D$4,$N60),AB$7+6&gt;=$M60),"●",""))</f>
        <v/>
      </c>
      <c r="AC60" s="25" t="str">
        <f aca="false">IF($C60="Milestone",IF(AND(AC$7&lt;=$I60,AC$7+6&gt;=$I60),"◆",""),IF(AND($C60="Task",$M60&lt;&gt;"",AC$7&lt;=IF($N60="",$D$4,$N60),AC$7+6&gt;=$M60),"●",""))</f>
        <v/>
      </c>
      <c r="AD60" s="25" t="str">
        <f aca="false">IF($C60="Milestone",IF(AND(AD$7&lt;=$I60,AD$7+6&gt;=$I60),"◆",""),IF(AND($C60="Task",$M60&lt;&gt;"",AD$7&lt;=IF($N60="",$D$4,$N60),AD$7+6&gt;=$M60),"●",""))</f>
        <v/>
      </c>
      <c r="AE60" s="25" t="str">
        <f aca="false">IF($C60="Milestone",IF(AND(AE$7&lt;=$I60,AE$7+6&gt;=$I60),"◆",""),IF(AND($C60="Task",$M60&lt;&gt;"",AE$7&lt;=IF($N60="",$D$4,$N60),AE$7+6&gt;=$M60),"●",""))</f>
        <v/>
      </c>
      <c r="AF60" s="25" t="str">
        <f aca="false">IF($C60="Milestone",IF(AND(AF$7&lt;=$I60,AF$7+6&gt;=$I60),"◆",""),IF(AND($C60="Task",$M60&lt;&gt;"",AF$7&lt;=IF($N60="",$D$4,$N60),AF$7+6&gt;=$M60),"●",""))</f>
        <v/>
      </c>
      <c r="AG60" s="25" t="str">
        <f aca="false">IF($C60="Milestone",IF(AND(AG$7&lt;=$I60,AG$7+6&gt;=$I60),"◆",""),IF(AND($C60="Task",$M60&lt;&gt;"",AG$7&lt;=IF($N60="",$D$4,$N60),AG$7+6&gt;=$M60),"●",""))</f>
        <v/>
      </c>
      <c r="AH60" s="25" t="str">
        <f aca="false">IF($C60="Milestone",IF(AND(AH$7&lt;=$I60,AH$7+6&gt;=$I60),"◆",""),IF(AND($C60="Task",$M60&lt;&gt;"",AH$7&lt;=IF($N60="",$D$4,$N60),AH$7+6&gt;=$M60),"●",""))</f>
        <v/>
      </c>
      <c r="AI60" s="25" t="str">
        <f aca="false">IF($C60="Milestone",IF(AND(AI$7&lt;=$I60,AI$7+6&gt;=$I60),"◆",""),IF(AND($C60="Task",$M60&lt;&gt;"",AI$7&lt;=IF($N60="",$D$4,$N60),AI$7+6&gt;=$M60),"●",""))</f>
        <v/>
      </c>
      <c r="AJ60" s="25" t="str">
        <f aca="false">IF($C60="Milestone",IF(AND(AJ$7&lt;=$I60,AJ$7+6&gt;=$I60),"◆",""),IF(AND($C60="Task",$M60&lt;&gt;"",AJ$7&lt;=IF($N60="",$D$4,$N60),AJ$7+6&gt;=$M60),"●",""))</f>
        <v>◆</v>
      </c>
      <c r="AK60" s="25" t="str">
        <f aca="false">IF($C60="Milestone",IF(AND(AK$7&lt;=$I60,AK$7+6&gt;=$I60),"◆",""),IF(AND($C60="Task",$M60&lt;&gt;"",AK$7&lt;=IF($N60="",$D$4,$N60),AK$7+6&gt;=$M60),"●",""))</f>
        <v/>
      </c>
      <c r="AL60" s="25" t="str">
        <f aca="false">IF($C60="Milestone",IF(AND(AL$7&lt;=$I60,AL$7+6&gt;=$I60),"◆",""),IF(AND($C60="Task",$M60&lt;&gt;"",AL$7&lt;=IF($N60="",$D$4,$N60),AL$7+6&gt;=$M60),"●",""))</f>
        <v/>
      </c>
      <c r="AM60" s="25" t="str">
        <f aca="false">IF($C60="Milestone",IF(AND(AM$7&lt;=$I60,AM$7+6&gt;=$I60),"◆",""),IF(AND($C60="Task",$M60&lt;&gt;"",AM$7&lt;=IF($N60="",$D$4,$N60),AM$7+6&gt;=$M60),"●",""))</f>
        <v/>
      </c>
      <c r="AN60" s="25" t="str">
        <f aca="false">IF($C60="Milestone",IF(AND(AN$7&lt;=$I60,AN$7+6&gt;=$I60),"◆",""),IF(AND($C60="Task",$M60&lt;&gt;"",AN$7&lt;=IF($N60="",$D$4,$N60),AN$7+6&gt;=$M60),"●",""))</f>
        <v/>
      </c>
      <c r="AO60" s="25" t="str">
        <f aca="false">IF($C60="Milestone",IF(AND(AO$7&lt;=$I60,AO$7+6&gt;=$I60),"◆",""),IF(AND($C60="Task",$M60&lt;&gt;"",AO$7&lt;=IF($N60="",$D$4,$N60),AO$7+6&gt;=$M60),"●",""))</f>
        <v/>
      </c>
      <c r="AP60" s="25" t="str">
        <f aca="false">IF($C60="Milestone",IF(AND(AP$7&lt;=$I60,AP$7+6&gt;=$I60),"◆",""),IF(AND($C60="Task",$M60&lt;&gt;"",AP$7&lt;=IF($N60="",$D$4,$N60),AP$7+6&gt;=$M60),"●",""))</f>
        <v/>
      </c>
      <c r="AQ60" s="25" t="str">
        <f aca="false">IF($C60="Milestone",IF(AND(AQ$7&lt;=$I60,AQ$7+6&gt;=$I60),"◆",""),IF(AND($C60="Task",$M60&lt;&gt;"",AQ$7&lt;=IF($N60="",$D$4,$N60),AQ$7+6&gt;=$M60),"●",""))</f>
        <v/>
      </c>
      <c r="AR60" s="25" t="str">
        <f aca="false">IF($C60="Milestone",IF(AND(AR$7&lt;=$I60,AR$7+6&gt;=$I60),"◆",""),IF(AND($C60="Task",$M60&lt;&gt;"",AR$7&lt;=IF($N60="",$D$4,$N60),AR$7+6&gt;=$M60),"●",""))</f>
        <v/>
      </c>
      <c r="AS60" s="25" t="str">
        <f aca="false">IF($C60="Milestone",IF(AND(AS$7&lt;=$I60,AS$7+6&gt;=$I60),"◆",""),IF(AND($C60="Task",$M60&lt;&gt;"",AS$7&lt;=IF($N60="",$D$4,$N60),AS$7+6&gt;=$M60),"●",""))</f>
        <v/>
      </c>
      <c r="AT60" s="25" t="str">
        <f aca="false">IF($C60="Milestone",IF(AND(AT$7&lt;=$I60,AT$7+6&gt;=$I60),"◆",""),IF(AND($C60="Task",$M60&lt;&gt;"",AT$7&lt;=IF($N60="",$D$4,$N60),AT$7+6&gt;=$M60),"●",""))</f>
        <v/>
      </c>
      <c r="AU60" s="25" t="str">
        <f aca="false">IF($C60="Milestone",IF(AND(AU$7&lt;=$I60,AU$7+6&gt;=$I60),"◆",""),IF(AND($C60="Task",$M60&lt;&gt;"",AU$7&lt;=IF($N60="",$D$4,$N60),AU$7+6&gt;=$M60),"●",""))</f>
        <v/>
      </c>
      <c r="AV60" s="25" t="str">
        <f aca="false">IF($C60="Milestone",IF(AND(AV$7&lt;=$I60,AV$7+6&gt;=$I60),"◆",""),IF(AND($C60="Task",$M60&lt;&gt;"",AV$7&lt;=IF($N60="",$D$4,$N60),AV$7+6&gt;=$M60),"●",""))</f>
        <v/>
      </c>
      <c r="AW60" s="25" t="str">
        <f aca="false">IF($C60="Milestone",IF(AND(AW$7&lt;=$I60,AW$7+6&gt;=$I60),"◆",""),IF(AND($C60="Task",$M60&lt;&gt;"",AW$7&lt;=IF($N60="",$D$4,$N60),AW$7+6&gt;=$M60),"●",""))</f>
        <v/>
      </c>
      <c r="AX60" s="25" t="str">
        <f aca="false">IF($C60="Milestone",IF(AND(AX$7&lt;=$I60,AX$7+6&gt;=$I60),"◆",""),IF(AND($C60="Task",$M60&lt;&gt;"",AX$7&lt;=IF($N60="",$D$4,$N60),AX$7+6&gt;=$M60),"●",""))</f>
        <v/>
      </c>
      <c r="AY60" s="25" t="str">
        <f aca="false">IF($C60="Milestone",IF(AND(AY$7&lt;=$I60,AY$7+6&gt;=$I60),"◆",""),IF(AND($C60="Task",$M60&lt;&gt;"",AY$7&lt;=IF($N60="",$D$4,$N60),AY$7+6&gt;=$M60),"●",""))</f>
        <v/>
      </c>
      <c r="AZ60" s="25" t="str">
        <f aca="false">IF($C60="Milestone",IF(AND(AZ$7&lt;=$I60,AZ$7+6&gt;=$I60),"◆",""),IF(AND($C60="Task",$M60&lt;&gt;"",AZ$7&lt;=IF($N60="",$D$4,$N60),AZ$7+6&gt;=$M60),"●",""))</f>
        <v/>
      </c>
    </row>
    <row r="61" customFormat="false" ht="15" hidden="false" customHeight="false" outlineLevel="0" collapsed="false">
      <c r="A61" s="15"/>
      <c r="B61" s="16" t="s">
        <v>154</v>
      </c>
      <c r="C61" s="17" t="s">
        <v>40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</row>
    <row r="62" customFormat="false" ht="18" hidden="false" customHeight="true" outlineLevel="0" collapsed="false">
      <c r="A62" s="18" t="s">
        <v>155</v>
      </c>
      <c r="B62" s="19" t="s">
        <v>156</v>
      </c>
      <c r="C62" s="18" t="s">
        <v>20</v>
      </c>
      <c r="D62" s="18" t="s">
        <v>81</v>
      </c>
      <c r="E62" s="18" t="s">
        <v>59</v>
      </c>
      <c r="F62" s="18" t="s">
        <v>44</v>
      </c>
      <c r="G62" s="20" t="n">
        <v>46440</v>
      </c>
      <c r="H62" s="20" t="n">
        <v>46451</v>
      </c>
      <c r="I62" s="21" t="n">
        <v>46419</v>
      </c>
      <c r="J62" s="21" t="n">
        <v>46430</v>
      </c>
      <c r="K62" s="18" t="n">
        <f aca="false">IF(C62="Task",ROUND((J62-I62+3)/7,0),"")</f>
        <v>2</v>
      </c>
      <c r="L62" s="18" t="n">
        <v>0</v>
      </c>
      <c r="M62" s="21"/>
      <c r="N62" s="21"/>
      <c r="O62" s="22"/>
      <c r="P62" s="18" t="str">
        <f aca="false">IF(C62="Break","",IF(C62="Milestone",IF(N62&lt;&gt;"","Done",IF($D$4&gt;J62,"Overdue","Upcoming")),IF(N(O62)&gt;=1,"Done",IF($D$4&lt;I62,"Not started",IF($D$4&gt;J62,"Late",IF(N(O62)+0.1&lt;($D$4-I62+1)/(J62-I62+1),"Behind","On track"))))))</f>
        <v>Not started</v>
      </c>
      <c r="Q62" s="23" t="n">
        <f aca="false">IF(C62="Break","",ROUND((IF(N62&lt;&gt;"",N62,J62)-H62)/7,1))</f>
        <v>-3</v>
      </c>
      <c r="R62" s="18" t="str">
        <f aca="false">IF(C62="Milestone",IF(N62&lt;&gt;"","✓",""),IF(AND(C62="Task",N(O62)&gt;=1),"✓",""))</f>
        <v/>
      </c>
      <c r="S62" s="18" t="n">
        <f aca="false">IF(C62="Task",K62*N(O62),"")</f>
        <v>0</v>
      </c>
      <c r="T62" s="24"/>
      <c r="U62" s="25" t="str">
        <f aca="false">IF($C62="Milestone",IF(AND(U$7&lt;=$I62,U$7+6&gt;=$I62),"◆",""),IF(AND($C62="Task",$M62&lt;&gt;"",U$7&lt;=IF($N62="",$D$4,$N62),U$7+6&gt;=$M62),"●",""))</f>
        <v/>
      </c>
      <c r="V62" s="25" t="str">
        <f aca="false">IF($C62="Milestone",IF(AND(V$7&lt;=$I62,V$7+6&gt;=$I62),"◆",""),IF(AND($C62="Task",$M62&lt;&gt;"",V$7&lt;=IF($N62="",$D$4,$N62),V$7+6&gt;=$M62),"●",""))</f>
        <v/>
      </c>
      <c r="W62" s="25" t="str">
        <f aca="false">IF($C62="Milestone",IF(AND(W$7&lt;=$I62,W$7+6&gt;=$I62),"◆",""),IF(AND($C62="Task",$M62&lt;&gt;"",W$7&lt;=IF($N62="",$D$4,$N62),W$7+6&gt;=$M62),"●",""))</f>
        <v/>
      </c>
      <c r="X62" s="25" t="str">
        <f aca="false">IF($C62="Milestone",IF(AND(X$7&lt;=$I62,X$7+6&gt;=$I62),"◆",""),IF(AND($C62="Task",$M62&lt;&gt;"",X$7&lt;=IF($N62="",$D$4,$N62),X$7+6&gt;=$M62),"●",""))</f>
        <v/>
      </c>
      <c r="Y62" s="25" t="str">
        <f aca="false">IF($C62="Milestone",IF(AND(Y$7&lt;=$I62,Y$7+6&gt;=$I62),"◆",""),IF(AND($C62="Task",$M62&lt;&gt;"",Y$7&lt;=IF($N62="",$D$4,$N62),Y$7+6&gt;=$M62),"●",""))</f>
        <v/>
      </c>
      <c r="Z62" s="25" t="str">
        <f aca="false">IF($C62="Milestone",IF(AND(Z$7&lt;=$I62,Z$7+6&gt;=$I62),"◆",""),IF(AND($C62="Task",$M62&lt;&gt;"",Z$7&lt;=IF($N62="",$D$4,$N62),Z$7+6&gt;=$M62),"●",""))</f>
        <v/>
      </c>
      <c r="AA62" s="25" t="str">
        <f aca="false">IF($C62="Milestone",IF(AND(AA$7&lt;=$I62,AA$7+6&gt;=$I62),"◆",""),IF(AND($C62="Task",$M62&lt;&gt;"",AA$7&lt;=IF($N62="",$D$4,$N62),AA$7+6&gt;=$M62),"●",""))</f>
        <v/>
      </c>
      <c r="AB62" s="25" t="str">
        <f aca="false">IF($C62="Milestone",IF(AND(AB$7&lt;=$I62,AB$7+6&gt;=$I62),"◆",""),IF(AND($C62="Task",$M62&lt;&gt;"",AB$7&lt;=IF($N62="",$D$4,$N62),AB$7+6&gt;=$M62),"●",""))</f>
        <v/>
      </c>
      <c r="AC62" s="25" t="str">
        <f aca="false">IF($C62="Milestone",IF(AND(AC$7&lt;=$I62,AC$7+6&gt;=$I62),"◆",""),IF(AND($C62="Task",$M62&lt;&gt;"",AC$7&lt;=IF($N62="",$D$4,$N62),AC$7+6&gt;=$M62),"●",""))</f>
        <v/>
      </c>
      <c r="AD62" s="25" t="str">
        <f aca="false">IF($C62="Milestone",IF(AND(AD$7&lt;=$I62,AD$7+6&gt;=$I62),"◆",""),IF(AND($C62="Task",$M62&lt;&gt;"",AD$7&lt;=IF($N62="",$D$4,$N62),AD$7+6&gt;=$M62),"●",""))</f>
        <v/>
      </c>
      <c r="AE62" s="25" t="str">
        <f aca="false">IF($C62="Milestone",IF(AND(AE$7&lt;=$I62,AE$7+6&gt;=$I62),"◆",""),IF(AND($C62="Task",$M62&lt;&gt;"",AE$7&lt;=IF($N62="",$D$4,$N62),AE$7+6&gt;=$M62),"●",""))</f>
        <v/>
      </c>
      <c r="AF62" s="25" t="str">
        <f aca="false">IF($C62="Milestone",IF(AND(AF$7&lt;=$I62,AF$7+6&gt;=$I62),"◆",""),IF(AND($C62="Task",$M62&lt;&gt;"",AF$7&lt;=IF($N62="",$D$4,$N62),AF$7+6&gt;=$M62),"●",""))</f>
        <v/>
      </c>
      <c r="AG62" s="25" t="str">
        <f aca="false">IF($C62="Milestone",IF(AND(AG$7&lt;=$I62,AG$7+6&gt;=$I62),"◆",""),IF(AND($C62="Task",$M62&lt;&gt;"",AG$7&lt;=IF($N62="",$D$4,$N62),AG$7+6&gt;=$M62),"●",""))</f>
        <v/>
      </c>
      <c r="AH62" s="25" t="str">
        <f aca="false">IF($C62="Milestone",IF(AND(AH$7&lt;=$I62,AH$7+6&gt;=$I62),"◆",""),IF(AND($C62="Task",$M62&lt;&gt;"",AH$7&lt;=IF($N62="",$D$4,$N62),AH$7+6&gt;=$M62),"●",""))</f>
        <v/>
      </c>
      <c r="AI62" s="25" t="str">
        <f aca="false">IF($C62="Milestone",IF(AND(AI$7&lt;=$I62,AI$7+6&gt;=$I62),"◆",""),IF(AND($C62="Task",$M62&lt;&gt;"",AI$7&lt;=IF($N62="",$D$4,$N62),AI$7+6&gt;=$M62),"●",""))</f>
        <v/>
      </c>
      <c r="AJ62" s="25" t="str">
        <f aca="false">IF($C62="Milestone",IF(AND(AJ$7&lt;=$I62,AJ$7+6&gt;=$I62),"◆",""),IF(AND($C62="Task",$M62&lt;&gt;"",AJ$7&lt;=IF($N62="",$D$4,$N62),AJ$7+6&gt;=$M62),"●",""))</f>
        <v/>
      </c>
      <c r="AK62" s="25" t="str">
        <f aca="false">IF($C62="Milestone",IF(AND(AK$7&lt;=$I62,AK$7+6&gt;=$I62),"◆",""),IF(AND($C62="Task",$M62&lt;&gt;"",AK$7&lt;=IF($N62="",$D$4,$N62),AK$7+6&gt;=$M62),"●",""))</f>
        <v/>
      </c>
      <c r="AL62" s="25" t="str">
        <f aca="false">IF($C62="Milestone",IF(AND(AL$7&lt;=$I62,AL$7+6&gt;=$I62),"◆",""),IF(AND($C62="Task",$M62&lt;&gt;"",AL$7&lt;=IF($N62="",$D$4,$N62),AL$7+6&gt;=$M62),"●",""))</f>
        <v/>
      </c>
      <c r="AM62" s="25" t="str">
        <f aca="false">IF($C62="Milestone",IF(AND(AM$7&lt;=$I62,AM$7+6&gt;=$I62),"◆",""),IF(AND($C62="Task",$M62&lt;&gt;"",AM$7&lt;=IF($N62="",$D$4,$N62),AM$7+6&gt;=$M62),"●",""))</f>
        <v/>
      </c>
      <c r="AN62" s="25" t="str">
        <f aca="false">IF($C62="Milestone",IF(AND(AN$7&lt;=$I62,AN$7+6&gt;=$I62),"◆",""),IF(AND($C62="Task",$M62&lt;&gt;"",AN$7&lt;=IF($N62="",$D$4,$N62),AN$7+6&gt;=$M62),"●",""))</f>
        <v/>
      </c>
      <c r="AO62" s="25" t="str">
        <f aca="false">IF($C62="Milestone",IF(AND(AO$7&lt;=$I62,AO$7+6&gt;=$I62),"◆",""),IF(AND($C62="Task",$M62&lt;&gt;"",AO$7&lt;=IF($N62="",$D$4,$N62),AO$7+6&gt;=$M62),"●",""))</f>
        <v/>
      </c>
      <c r="AP62" s="25" t="str">
        <f aca="false">IF($C62="Milestone",IF(AND(AP$7&lt;=$I62,AP$7+6&gt;=$I62),"◆",""),IF(AND($C62="Task",$M62&lt;&gt;"",AP$7&lt;=IF($N62="",$D$4,$N62),AP$7+6&gt;=$M62),"●",""))</f>
        <v/>
      </c>
      <c r="AQ62" s="25" t="str">
        <f aca="false">IF($C62="Milestone",IF(AND(AQ$7&lt;=$I62,AQ$7+6&gt;=$I62),"◆",""),IF(AND($C62="Task",$M62&lt;&gt;"",AQ$7&lt;=IF($N62="",$D$4,$N62),AQ$7+6&gt;=$M62),"●",""))</f>
        <v/>
      </c>
      <c r="AR62" s="25" t="str">
        <f aca="false">IF($C62="Milestone",IF(AND(AR$7&lt;=$I62,AR$7+6&gt;=$I62),"◆",""),IF(AND($C62="Task",$M62&lt;&gt;"",AR$7&lt;=IF($N62="",$D$4,$N62),AR$7+6&gt;=$M62),"●",""))</f>
        <v/>
      </c>
      <c r="AS62" s="25" t="str">
        <f aca="false">IF($C62="Milestone",IF(AND(AS$7&lt;=$I62,AS$7+6&gt;=$I62),"◆",""),IF(AND($C62="Task",$M62&lt;&gt;"",AS$7&lt;=IF($N62="",$D$4,$N62),AS$7+6&gt;=$M62),"●",""))</f>
        <v/>
      </c>
      <c r="AT62" s="25" t="str">
        <f aca="false">IF($C62="Milestone",IF(AND(AT$7&lt;=$I62,AT$7+6&gt;=$I62),"◆",""),IF(AND($C62="Task",$M62&lt;&gt;"",AT$7&lt;=IF($N62="",$D$4,$N62),AT$7+6&gt;=$M62),"●",""))</f>
        <v/>
      </c>
      <c r="AU62" s="25" t="str">
        <f aca="false">IF($C62="Milestone",IF(AND(AU$7&lt;=$I62,AU$7+6&gt;=$I62),"◆",""),IF(AND($C62="Task",$M62&lt;&gt;"",AU$7&lt;=IF($N62="",$D$4,$N62),AU$7+6&gt;=$M62),"●",""))</f>
        <v/>
      </c>
      <c r="AV62" s="25" t="str">
        <f aca="false">IF($C62="Milestone",IF(AND(AV$7&lt;=$I62,AV$7+6&gt;=$I62),"◆",""),IF(AND($C62="Task",$M62&lt;&gt;"",AV$7&lt;=IF($N62="",$D$4,$N62),AV$7+6&gt;=$M62),"●",""))</f>
        <v/>
      </c>
      <c r="AW62" s="25" t="str">
        <f aca="false">IF($C62="Milestone",IF(AND(AW$7&lt;=$I62,AW$7+6&gt;=$I62),"◆",""),IF(AND($C62="Task",$M62&lt;&gt;"",AW$7&lt;=IF($N62="",$D$4,$N62),AW$7+6&gt;=$M62),"●",""))</f>
        <v/>
      </c>
      <c r="AX62" s="25" t="str">
        <f aca="false">IF($C62="Milestone",IF(AND(AX$7&lt;=$I62,AX$7+6&gt;=$I62),"◆",""),IF(AND($C62="Task",$M62&lt;&gt;"",AX$7&lt;=IF($N62="",$D$4,$N62),AX$7+6&gt;=$M62),"●",""))</f>
        <v/>
      </c>
      <c r="AY62" s="25" t="str">
        <f aca="false">IF($C62="Milestone",IF(AND(AY$7&lt;=$I62,AY$7+6&gt;=$I62),"◆",""),IF(AND($C62="Task",$M62&lt;&gt;"",AY$7&lt;=IF($N62="",$D$4,$N62),AY$7+6&gt;=$M62),"●",""))</f>
        <v/>
      </c>
      <c r="AZ62" s="25" t="str">
        <f aca="false">IF($C62="Milestone",IF(AND(AZ$7&lt;=$I62,AZ$7+6&gt;=$I62),"◆",""),IF(AND($C62="Task",$M62&lt;&gt;"",AZ$7&lt;=IF($N62="",$D$4,$N62),AZ$7+6&gt;=$M62),"●",""))</f>
        <v/>
      </c>
    </row>
    <row r="63" customFormat="false" ht="18" hidden="false" customHeight="true" outlineLevel="0" collapsed="false">
      <c r="A63" s="18" t="s">
        <v>157</v>
      </c>
      <c r="B63" s="19" t="s">
        <v>158</v>
      </c>
      <c r="C63" s="18" t="s">
        <v>20</v>
      </c>
      <c r="D63" s="18" t="s">
        <v>81</v>
      </c>
      <c r="E63" s="18" t="s">
        <v>159</v>
      </c>
      <c r="F63" s="18" t="s">
        <v>44</v>
      </c>
      <c r="G63" s="20" t="n">
        <v>46454</v>
      </c>
      <c r="H63" s="20" t="n">
        <v>46465</v>
      </c>
      <c r="I63" s="21" t="n">
        <v>46412</v>
      </c>
      <c r="J63" s="21" t="n">
        <v>46423</v>
      </c>
      <c r="K63" s="18" t="n">
        <f aca="false">IF(C63="Task",ROUND((J63-I63+3)/7,0),"")</f>
        <v>2</v>
      </c>
      <c r="L63" s="18" t="n">
        <v>0</v>
      </c>
      <c r="M63" s="21"/>
      <c r="N63" s="21"/>
      <c r="O63" s="22"/>
      <c r="P63" s="18" t="str">
        <f aca="false">IF(C63="Break","",IF(C63="Milestone",IF(N63&lt;&gt;"","Done",IF($D$4&gt;J63,"Overdue","Upcoming")),IF(N(O63)&gt;=1,"Done",IF($D$4&lt;I63,"Not started",IF($D$4&gt;J63,"Late",IF(N(O63)+0.1&lt;($D$4-I63+1)/(J63-I63+1),"Behind","On track"))))))</f>
        <v>Not started</v>
      </c>
      <c r="Q63" s="23" t="n">
        <f aca="false">IF(C63="Break","",ROUND((IF(N63&lt;&gt;"",N63,J63)-H63)/7,1))</f>
        <v>-6</v>
      </c>
      <c r="R63" s="18" t="str">
        <f aca="false">IF(C63="Milestone",IF(N63&lt;&gt;"","✓",""),IF(AND(C63="Task",N(O63)&gt;=1),"✓",""))</f>
        <v/>
      </c>
      <c r="S63" s="18" t="n">
        <f aca="false">IF(C63="Task",K63*N(O63),"")</f>
        <v>0</v>
      </c>
      <c r="T63" s="24"/>
      <c r="U63" s="25" t="str">
        <f aca="false">IF($C63="Milestone",IF(AND(U$7&lt;=$I63,U$7+6&gt;=$I63),"◆",""),IF(AND($C63="Task",$M63&lt;&gt;"",U$7&lt;=IF($N63="",$D$4,$N63),U$7+6&gt;=$M63),"●",""))</f>
        <v/>
      </c>
      <c r="V63" s="25" t="str">
        <f aca="false">IF($C63="Milestone",IF(AND(V$7&lt;=$I63,V$7+6&gt;=$I63),"◆",""),IF(AND($C63="Task",$M63&lt;&gt;"",V$7&lt;=IF($N63="",$D$4,$N63),V$7+6&gt;=$M63),"●",""))</f>
        <v/>
      </c>
      <c r="W63" s="25" t="str">
        <f aca="false">IF($C63="Milestone",IF(AND(W$7&lt;=$I63,W$7+6&gt;=$I63),"◆",""),IF(AND($C63="Task",$M63&lt;&gt;"",W$7&lt;=IF($N63="",$D$4,$N63),W$7+6&gt;=$M63),"●",""))</f>
        <v/>
      </c>
      <c r="X63" s="25" t="str">
        <f aca="false">IF($C63="Milestone",IF(AND(X$7&lt;=$I63,X$7+6&gt;=$I63),"◆",""),IF(AND($C63="Task",$M63&lt;&gt;"",X$7&lt;=IF($N63="",$D$4,$N63),X$7+6&gt;=$M63),"●",""))</f>
        <v/>
      </c>
      <c r="Y63" s="25" t="str">
        <f aca="false">IF($C63="Milestone",IF(AND(Y$7&lt;=$I63,Y$7+6&gt;=$I63),"◆",""),IF(AND($C63="Task",$M63&lt;&gt;"",Y$7&lt;=IF($N63="",$D$4,$N63),Y$7+6&gt;=$M63),"●",""))</f>
        <v/>
      </c>
      <c r="Z63" s="25" t="str">
        <f aca="false">IF($C63="Milestone",IF(AND(Z$7&lt;=$I63,Z$7+6&gt;=$I63),"◆",""),IF(AND($C63="Task",$M63&lt;&gt;"",Z$7&lt;=IF($N63="",$D$4,$N63),Z$7+6&gt;=$M63),"●",""))</f>
        <v/>
      </c>
      <c r="AA63" s="25" t="str">
        <f aca="false">IF($C63="Milestone",IF(AND(AA$7&lt;=$I63,AA$7+6&gt;=$I63),"◆",""),IF(AND($C63="Task",$M63&lt;&gt;"",AA$7&lt;=IF($N63="",$D$4,$N63),AA$7+6&gt;=$M63),"●",""))</f>
        <v/>
      </c>
      <c r="AB63" s="25" t="str">
        <f aca="false">IF($C63="Milestone",IF(AND(AB$7&lt;=$I63,AB$7+6&gt;=$I63),"◆",""),IF(AND($C63="Task",$M63&lt;&gt;"",AB$7&lt;=IF($N63="",$D$4,$N63),AB$7+6&gt;=$M63),"●",""))</f>
        <v/>
      </c>
      <c r="AC63" s="25" t="str">
        <f aca="false">IF($C63="Milestone",IF(AND(AC$7&lt;=$I63,AC$7+6&gt;=$I63),"◆",""),IF(AND($C63="Task",$M63&lt;&gt;"",AC$7&lt;=IF($N63="",$D$4,$N63),AC$7+6&gt;=$M63),"●",""))</f>
        <v/>
      </c>
      <c r="AD63" s="25" t="str">
        <f aca="false">IF($C63="Milestone",IF(AND(AD$7&lt;=$I63,AD$7+6&gt;=$I63),"◆",""),IF(AND($C63="Task",$M63&lt;&gt;"",AD$7&lt;=IF($N63="",$D$4,$N63),AD$7+6&gt;=$M63),"●",""))</f>
        <v/>
      </c>
      <c r="AE63" s="25" t="str">
        <f aca="false">IF($C63="Milestone",IF(AND(AE$7&lt;=$I63,AE$7+6&gt;=$I63),"◆",""),IF(AND($C63="Task",$M63&lt;&gt;"",AE$7&lt;=IF($N63="",$D$4,$N63),AE$7+6&gt;=$M63),"●",""))</f>
        <v/>
      </c>
      <c r="AF63" s="25" t="str">
        <f aca="false">IF($C63="Milestone",IF(AND(AF$7&lt;=$I63,AF$7+6&gt;=$I63),"◆",""),IF(AND($C63="Task",$M63&lt;&gt;"",AF$7&lt;=IF($N63="",$D$4,$N63),AF$7+6&gt;=$M63),"●",""))</f>
        <v/>
      </c>
      <c r="AG63" s="25" t="str">
        <f aca="false">IF($C63="Milestone",IF(AND(AG$7&lt;=$I63,AG$7+6&gt;=$I63),"◆",""),IF(AND($C63="Task",$M63&lt;&gt;"",AG$7&lt;=IF($N63="",$D$4,$N63),AG$7+6&gt;=$M63),"●",""))</f>
        <v/>
      </c>
      <c r="AH63" s="25" t="str">
        <f aca="false">IF($C63="Milestone",IF(AND(AH$7&lt;=$I63,AH$7+6&gt;=$I63),"◆",""),IF(AND($C63="Task",$M63&lt;&gt;"",AH$7&lt;=IF($N63="",$D$4,$N63),AH$7+6&gt;=$M63),"●",""))</f>
        <v/>
      </c>
      <c r="AI63" s="25" t="str">
        <f aca="false">IF($C63="Milestone",IF(AND(AI$7&lt;=$I63,AI$7+6&gt;=$I63),"◆",""),IF(AND($C63="Task",$M63&lt;&gt;"",AI$7&lt;=IF($N63="",$D$4,$N63),AI$7+6&gt;=$M63),"●",""))</f>
        <v/>
      </c>
      <c r="AJ63" s="25" t="str">
        <f aca="false">IF($C63="Milestone",IF(AND(AJ$7&lt;=$I63,AJ$7+6&gt;=$I63),"◆",""),IF(AND($C63="Task",$M63&lt;&gt;"",AJ$7&lt;=IF($N63="",$D$4,$N63),AJ$7+6&gt;=$M63),"●",""))</f>
        <v/>
      </c>
      <c r="AK63" s="25" t="str">
        <f aca="false">IF($C63="Milestone",IF(AND(AK$7&lt;=$I63,AK$7+6&gt;=$I63),"◆",""),IF(AND($C63="Task",$M63&lt;&gt;"",AK$7&lt;=IF($N63="",$D$4,$N63),AK$7+6&gt;=$M63),"●",""))</f>
        <v/>
      </c>
      <c r="AL63" s="25" t="str">
        <f aca="false">IF($C63="Milestone",IF(AND(AL$7&lt;=$I63,AL$7+6&gt;=$I63),"◆",""),IF(AND($C63="Task",$M63&lt;&gt;"",AL$7&lt;=IF($N63="",$D$4,$N63),AL$7+6&gt;=$M63),"●",""))</f>
        <v/>
      </c>
      <c r="AM63" s="25" t="str">
        <f aca="false">IF($C63="Milestone",IF(AND(AM$7&lt;=$I63,AM$7+6&gt;=$I63),"◆",""),IF(AND($C63="Task",$M63&lt;&gt;"",AM$7&lt;=IF($N63="",$D$4,$N63),AM$7+6&gt;=$M63),"●",""))</f>
        <v/>
      </c>
      <c r="AN63" s="25" t="str">
        <f aca="false">IF($C63="Milestone",IF(AND(AN$7&lt;=$I63,AN$7+6&gt;=$I63),"◆",""),IF(AND($C63="Task",$M63&lt;&gt;"",AN$7&lt;=IF($N63="",$D$4,$N63),AN$7+6&gt;=$M63),"●",""))</f>
        <v/>
      </c>
      <c r="AO63" s="25" t="str">
        <f aca="false">IF($C63="Milestone",IF(AND(AO$7&lt;=$I63,AO$7+6&gt;=$I63),"◆",""),IF(AND($C63="Task",$M63&lt;&gt;"",AO$7&lt;=IF($N63="",$D$4,$N63),AO$7+6&gt;=$M63),"●",""))</f>
        <v/>
      </c>
      <c r="AP63" s="25" t="str">
        <f aca="false">IF($C63="Milestone",IF(AND(AP$7&lt;=$I63,AP$7+6&gt;=$I63),"◆",""),IF(AND($C63="Task",$M63&lt;&gt;"",AP$7&lt;=IF($N63="",$D$4,$N63),AP$7+6&gt;=$M63),"●",""))</f>
        <v/>
      </c>
      <c r="AQ63" s="25" t="str">
        <f aca="false">IF($C63="Milestone",IF(AND(AQ$7&lt;=$I63,AQ$7+6&gt;=$I63),"◆",""),IF(AND($C63="Task",$M63&lt;&gt;"",AQ$7&lt;=IF($N63="",$D$4,$N63),AQ$7+6&gt;=$M63),"●",""))</f>
        <v/>
      </c>
      <c r="AR63" s="25" t="str">
        <f aca="false">IF($C63="Milestone",IF(AND(AR$7&lt;=$I63,AR$7+6&gt;=$I63),"◆",""),IF(AND($C63="Task",$M63&lt;&gt;"",AR$7&lt;=IF($N63="",$D$4,$N63),AR$7+6&gt;=$M63),"●",""))</f>
        <v/>
      </c>
      <c r="AS63" s="25" t="str">
        <f aca="false">IF($C63="Milestone",IF(AND(AS$7&lt;=$I63,AS$7+6&gt;=$I63),"◆",""),IF(AND($C63="Task",$M63&lt;&gt;"",AS$7&lt;=IF($N63="",$D$4,$N63),AS$7+6&gt;=$M63),"●",""))</f>
        <v/>
      </c>
      <c r="AT63" s="25" t="str">
        <f aca="false">IF($C63="Milestone",IF(AND(AT$7&lt;=$I63,AT$7+6&gt;=$I63),"◆",""),IF(AND($C63="Task",$M63&lt;&gt;"",AT$7&lt;=IF($N63="",$D$4,$N63),AT$7+6&gt;=$M63),"●",""))</f>
        <v/>
      </c>
      <c r="AU63" s="25" t="str">
        <f aca="false">IF($C63="Milestone",IF(AND(AU$7&lt;=$I63,AU$7+6&gt;=$I63),"◆",""),IF(AND($C63="Task",$M63&lt;&gt;"",AU$7&lt;=IF($N63="",$D$4,$N63),AU$7+6&gt;=$M63),"●",""))</f>
        <v/>
      </c>
      <c r="AV63" s="25" t="str">
        <f aca="false">IF($C63="Milestone",IF(AND(AV$7&lt;=$I63,AV$7+6&gt;=$I63),"◆",""),IF(AND($C63="Task",$M63&lt;&gt;"",AV$7&lt;=IF($N63="",$D$4,$N63),AV$7+6&gt;=$M63),"●",""))</f>
        <v/>
      </c>
      <c r="AW63" s="25" t="str">
        <f aca="false">IF($C63="Milestone",IF(AND(AW$7&lt;=$I63,AW$7+6&gt;=$I63),"◆",""),IF(AND($C63="Task",$M63&lt;&gt;"",AW$7&lt;=IF($N63="",$D$4,$N63),AW$7+6&gt;=$M63),"●",""))</f>
        <v/>
      </c>
      <c r="AX63" s="25" t="str">
        <f aca="false">IF($C63="Milestone",IF(AND(AX$7&lt;=$I63,AX$7+6&gt;=$I63),"◆",""),IF(AND($C63="Task",$M63&lt;&gt;"",AX$7&lt;=IF($N63="",$D$4,$N63),AX$7+6&gt;=$M63),"●",""))</f>
        <v/>
      </c>
      <c r="AY63" s="25" t="str">
        <f aca="false">IF($C63="Milestone",IF(AND(AY$7&lt;=$I63,AY$7+6&gt;=$I63),"◆",""),IF(AND($C63="Task",$M63&lt;&gt;"",AY$7&lt;=IF($N63="",$D$4,$N63),AY$7+6&gt;=$M63),"●",""))</f>
        <v/>
      </c>
      <c r="AZ63" s="25" t="str">
        <f aca="false">IF($C63="Milestone",IF(AND(AZ$7&lt;=$I63,AZ$7+6&gt;=$I63),"◆",""),IF(AND($C63="Task",$M63&lt;&gt;"",AZ$7&lt;=IF($N63="",$D$4,$N63),AZ$7+6&gt;=$M63),"●",""))</f>
        <v/>
      </c>
    </row>
    <row r="64" customFormat="false" ht="18" hidden="false" customHeight="true" outlineLevel="0" collapsed="false">
      <c r="A64" s="18" t="s">
        <v>160</v>
      </c>
      <c r="B64" s="19" t="s">
        <v>161</v>
      </c>
      <c r="C64" s="18" t="s">
        <v>20</v>
      </c>
      <c r="D64" s="18" t="s">
        <v>81</v>
      </c>
      <c r="E64" s="18" t="s">
        <v>155</v>
      </c>
      <c r="F64" s="18" t="s">
        <v>44</v>
      </c>
      <c r="G64" s="20" t="n">
        <v>46461</v>
      </c>
      <c r="H64" s="20" t="n">
        <v>46472</v>
      </c>
      <c r="I64" s="21" t="n">
        <v>46426</v>
      </c>
      <c r="J64" s="21" t="n">
        <v>46437</v>
      </c>
      <c r="K64" s="18" t="n">
        <f aca="false">IF(C64="Task",ROUND((J64-I64+3)/7,0),"")</f>
        <v>2</v>
      </c>
      <c r="L64" s="18" t="n">
        <v>0</v>
      </c>
      <c r="M64" s="21"/>
      <c r="N64" s="21"/>
      <c r="O64" s="22"/>
      <c r="P64" s="18" t="str">
        <f aca="false">IF(C64="Break","",IF(C64="Milestone",IF(N64&lt;&gt;"","Done",IF($D$4&gt;J64,"Overdue","Upcoming")),IF(N(O64)&gt;=1,"Done",IF($D$4&lt;I64,"Not started",IF($D$4&gt;J64,"Late",IF(N(O64)+0.1&lt;($D$4-I64+1)/(J64-I64+1),"Behind","On track"))))))</f>
        <v>Not started</v>
      </c>
      <c r="Q64" s="23" t="n">
        <f aca="false">IF(C64="Break","",ROUND((IF(N64&lt;&gt;"",N64,J64)-H64)/7,1))</f>
        <v>-5</v>
      </c>
      <c r="R64" s="18" t="str">
        <f aca="false">IF(C64="Milestone",IF(N64&lt;&gt;"","✓",""),IF(AND(C64="Task",N(O64)&gt;=1),"✓",""))</f>
        <v/>
      </c>
      <c r="S64" s="18" t="n">
        <f aca="false">IF(C64="Task",K64*N(O64),"")</f>
        <v>0</v>
      </c>
      <c r="T64" s="24"/>
      <c r="U64" s="25" t="str">
        <f aca="false">IF($C64="Milestone",IF(AND(U$7&lt;=$I64,U$7+6&gt;=$I64),"◆",""),IF(AND($C64="Task",$M64&lt;&gt;"",U$7&lt;=IF($N64="",$D$4,$N64),U$7+6&gt;=$M64),"●",""))</f>
        <v/>
      </c>
      <c r="V64" s="25" t="str">
        <f aca="false">IF($C64="Milestone",IF(AND(V$7&lt;=$I64,V$7+6&gt;=$I64),"◆",""),IF(AND($C64="Task",$M64&lt;&gt;"",V$7&lt;=IF($N64="",$D$4,$N64),V$7+6&gt;=$M64),"●",""))</f>
        <v/>
      </c>
      <c r="W64" s="25" t="str">
        <f aca="false">IF($C64="Milestone",IF(AND(W$7&lt;=$I64,W$7+6&gt;=$I64),"◆",""),IF(AND($C64="Task",$M64&lt;&gt;"",W$7&lt;=IF($N64="",$D$4,$N64),W$7+6&gt;=$M64),"●",""))</f>
        <v/>
      </c>
      <c r="X64" s="25" t="str">
        <f aca="false">IF($C64="Milestone",IF(AND(X$7&lt;=$I64,X$7+6&gt;=$I64),"◆",""),IF(AND($C64="Task",$M64&lt;&gt;"",X$7&lt;=IF($N64="",$D$4,$N64),X$7+6&gt;=$M64),"●",""))</f>
        <v/>
      </c>
      <c r="Y64" s="25" t="str">
        <f aca="false">IF($C64="Milestone",IF(AND(Y$7&lt;=$I64,Y$7+6&gt;=$I64),"◆",""),IF(AND($C64="Task",$M64&lt;&gt;"",Y$7&lt;=IF($N64="",$D$4,$N64),Y$7+6&gt;=$M64),"●",""))</f>
        <v/>
      </c>
      <c r="Z64" s="25" t="str">
        <f aca="false">IF($C64="Milestone",IF(AND(Z$7&lt;=$I64,Z$7+6&gt;=$I64),"◆",""),IF(AND($C64="Task",$M64&lt;&gt;"",Z$7&lt;=IF($N64="",$D$4,$N64),Z$7+6&gt;=$M64),"●",""))</f>
        <v/>
      </c>
      <c r="AA64" s="25" t="str">
        <f aca="false">IF($C64="Milestone",IF(AND(AA$7&lt;=$I64,AA$7+6&gt;=$I64),"◆",""),IF(AND($C64="Task",$M64&lt;&gt;"",AA$7&lt;=IF($N64="",$D$4,$N64),AA$7+6&gt;=$M64),"●",""))</f>
        <v/>
      </c>
      <c r="AB64" s="25" t="str">
        <f aca="false">IF($C64="Milestone",IF(AND(AB$7&lt;=$I64,AB$7+6&gt;=$I64),"◆",""),IF(AND($C64="Task",$M64&lt;&gt;"",AB$7&lt;=IF($N64="",$D$4,$N64),AB$7+6&gt;=$M64),"●",""))</f>
        <v/>
      </c>
      <c r="AC64" s="25" t="str">
        <f aca="false">IF($C64="Milestone",IF(AND(AC$7&lt;=$I64,AC$7+6&gt;=$I64),"◆",""),IF(AND($C64="Task",$M64&lt;&gt;"",AC$7&lt;=IF($N64="",$D$4,$N64),AC$7+6&gt;=$M64),"●",""))</f>
        <v/>
      </c>
      <c r="AD64" s="25" t="str">
        <f aca="false">IF($C64="Milestone",IF(AND(AD$7&lt;=$I64,AD$7+6&gt;=$I64),"◆",""),IF(AND($C64="Task",$M64&lt;&gt;"",AD$7&lt;=IF($N64="",$D$4,$N64),AD$7+6&gt;=$M64),"●",""))</f>
        <v/>
      </c>
      <c r="AE64" s="25" t="str">
        <f aca="false">IF($C64="Milestone",IF(AND(AE$7&lt;=$I64,AE$7+6&gt;=$I64),"◆",""),IF(AND($C64="Task",$M64&lt;&gt;"",AE$7&lt;=IF($N64="",$D$4,$N64),AE$7+6&gt;=$M64),"●",""))</f>
        <v/>
      </c>
      <c r="AF64" s="25" t="str">
        <f aca="false">IF($C64="Milestone",IF(AND(AF$7&lt;=$I64,AF$7+6&gt;=$I64),"◆",""),IF(AND($C64="Task",$M64&lt;&gt;"",AF$7&lt;=IF($N64="",$D$4,$N64),AF$7+6&gt;=$M64),"●",""))</f>
        <v/>
      </c>
      <c r="AG64" s="25" t="str">
        <f aca="false">IF($C64="Milestone",IF(AND(AG$7&lt;=$I64,AG$7+6&gt;=$I64),"◆",""),IF(AND($C64="Task",$M64&lt;&gt;"",AG$7&lt;=IF($N64="",$D$4,$N64),AG$7+6&gt;=$M64),"●",""))</f>
        <v/>
      </c>
      <c r="AH64" s="25" t="str">
        <f aca="false">IF($C64="Milestone",IF(AND(AH$7&lt;=$I64,AH$7+6&gt;=$I64),"◆",""),IF(AND($C64="Task",$M64&lt;&gt;"",AH$7&lt;=IF($N64="",$D$4,$N64),AH$7+6&gt;=$M64),"●",""))</f>
        <v/>
      </c>
      <c r="AI64" s="25" t="str">
        <f aca="false">IF($C64="Milestone",IF(AND(AI$7&lt;=$I64,AI$7+6&gt;=$I64),"◆",""),IF(AND($C64="Task",$M64&lt;&gt;"",AI$7&lt;=IF($N64="",$D$4,$N64),AI$7+6&gt;=$M64),"●",""))</f>
        <v/>
      </c>
      <c r="AJ64" s="25" t="str">
        <f aca="false">IF($C64="Milestone",IF(AND(AJ$7&lt;=$I64,AJ$7+6&gt;=$I64),"◆",""),IF(AND($C64="Task",$M64&lt;&gt;"",AJ$7&lt;=IF($N64="",$D$4,$N64),AJ$7+6&gt;=$M64),"●",""))</f>
        <v/>
      </c>
      <c r="AK64" s="25" t="str">
        <f aca="false">IF($C64="Milestone",IF(AND(AK$7&lt;=$I64,AK$7+6&gt;=$I64),"◆",""),IF(AND($C64="Task",$M64&lt;&gt;"",AK$7&lt;=IF($N64="",$D$4,$N64),AK$7+6&gt;=$M64),"●",""))</f>
        <v/>
      </c>
      <c r="AL64" s="25" t="str">
        <f aca="false">IF($C64="Milestone",IF(AND(AL$7&lt;=$I64,AL$7+6&gt;=$I64),"◆",""),IF(AND($C64="Task",$M64&lt;&gt;"",AL$7&lt;=IF($N64="",$D$4,$N64),AL$7+6&gt;=$M64),"●",""))</f>
        <v/>
      </c>
      <c r="AM64" s="25" t="str">
        <f aca="false">IF($C64="Milestone",IF(AND(AM$7&lt;=$I64,AM$7+6&gt;=$I64),"◆",""),IF(AND($C64="Task",$M64&lt;&gt;"",AM$7&lt;=IF($N64="",$D$4,$N64),AM$7+6&gt;=$M64),"●",""))</f>
        <v/>
      </c>
      <c r="AN64" s="25" t="str">
        <f aca="false">IF($C64="Milestone",IF(AND(AN$7&lt;=$I64,AN$7+6&gt;=$I64),"◆",""),IF(AND($C64="Task",$M64&lt;&gt;"",AN$7&lt;=IF($N64="",$D$4,$N64),AN$7+6&gt;=$M64),"●",""))</f>
        <v/>
      </c>
      <c r="AO64" s="25" t="str">
        <f aca="false">IF($C64="Milestone",IF(AND(AO$7&lt;=$I64,AO$7+6&gt;=$I64),"◆",""),IF(AND($C64="Task",$M64&lt;&gt;"",AO$7&lt;=IF($N64="",$D$4,$N64),AO$7+6&gt;=$M64),"●",""))</f>
        <v/>
      </c>
      <c r="AP64" s="25" t="str">
        <f aca="false">IF($C64="Milestone",IF(AND(AP$7&lt;=$I64,AP$7+6&gt;=$I64),"◆",""),IF(AND($C64="Task",$M64&lt;&gt;"",AP$7&lt;=IF($N64="",$D$4,$N64),AP$7+6&gt;=$M64),"●",""))</f>
        <v/>
      </c>
      <c r="AQ64" s="25" t="str">
        <f aca="false">IF($C64="Milestone",IF(AND(AQ$7&lt;=$I64,AQ$7+6&gt;=$I64),"◆",""),IF(AND($C64="Task",$M64&lt;&gt;"",AQ$7&lt;=IF($N64="",$D$4,$N64),AQ$7+6&gt;=$M64),"●",""))</f>
        <v/>
      </c>
      <c r="AR64" s="25" t="str">
        <f aca="false">IF($C64="Milestone",IF(AND(AR$7&lt;=$I64,AR$7+6&gt;=$I64),"◆",""),IF(AND($C64="Task",$M64&lt;&gt;"",AR$7&lt;=IF($N64="",$D$4,$N64),AR$7+6&gt;=$M64),"●",""))</f>
        <v/>
      </c>
      <c r="AS64" s="25" t="str">
        <f aca="false">IF($C64="Milestone",IF(AND(AS$7&lt;=$I64,AS$7+6&gt;=$I64),"◆",""),IF(AND($C64="Task",$M64&lt;&gt;"",AS$7&lt;=IF($N64="",$D$4,$N64),AS$7+6&gt;=$M64),"●",""))</f>
        <v/>
      </c>
      <c r="AT64" s="25" t="str">
        <f aca="false">IF($C64="Milestone",IF(AND(AT$7&lt;=$I64,AT$7+6&gt;=$I64),"◆",""),IF(AND($C64="Task",$M64&lt;&gt;"",AT$7&lt;=IF($N64="",$D$4,$N64),AT$7+6&gt;=$M64),"●",""))</f>
        <v/>
      </c>
      <c r="AU64" s="25" t="str">
        <f aca="false">IF($C64="Milestone",IF(AND(AU$7&lt;=$I64,AU$7+6&gt;=$I64),"◆",""),IF(AND($C64="Task",$M64&lt;&gt;"",AU$7&lt;=IF($N64="",$D$4,$N64),AU$7+6&gt;=$M64),"●",""))</f>
        <v/>
      </c>
      <c r="AV64" s="25" t="str">
        <f aca="false">IF($C64="Milestone",IF(AND(AV$7&lt;=$I64,AV$7+6&gt;=$I64),"◆",""),IF(AND($C64="Task",$M64&lt;&gt;"",AV$7&lt;=IF($N64="",$D$4,$N64),AV$7+6&gt;=$M64),"●",""))</f>
        <v/>
      </c>
      <c r="AW64" s="25" t="str">
        <f aca="false">IF($C64="Milestone",IF(AND(AW$7&lt;=$I64,AW$7+6&gt;=$I64),"◆",""),IF(AND($C64="Task",$M64&lt;&gt;"",AW$7&lt;=IF($N64="",$D$4,$N64),AW$7+6&gt;=$M64),"●",""))</f>
        <v/>
      </c>
      <c r="AX64" s="25" t="str">
        <f aca="false">IF($C64="Milestone",IF(AND(AX$7&lt;=$I64,AX$7+6&gt;=$I64),"◆",""),IF(AND($C64="Task",$M64&lt;&gt;"",AX$7&lt;=IF($N64="",$D$4,$N64),AX$7+6&gt;=$M64),"●",""))</f>
        <v/>
      </c>
      <c r="AY64" s="25" t="str">
        <f aca="false">IF($C64="Milestone",IF(AND(AY$7&lt;=$I64,AY$7+6&gt;=$I64),"◆",""),IF(AND($C64="Task",$M64&lt;&gt;"",AY$7&lt;=IF($N64="",$D$4,$N64),AY$7+6&gt;=$M64),"●",""))</f>
        <v/>
      </c>
      <c r="AZ64" s="25" t="str">
        <f aca="false">IF($C64="Milestone",IF(AND(AZ$7&lt;=$I64,AZ$7+6&gt;=$I64),"◆",""),IF(AND($C64="Task",$M64&lt;&gt;"",AZ$7&lt;=IF($N64="",$D$4,$N64),AZ$7+6&gt;=$M64),"●",""))</f>
        <v/>
      </c>
    </row>
    <row r="65" customFormat="false" ht="18" hidden="false" customHeight="true" outlineLevel="0" collapsed="false">
      <c r="A65" s="18" t="s">
        <v>162</v>
      </c>
      <c r="B65" s="19" t="s">
        <v>163</v>
      </c>
      <c r="C65" s="18" t="s">
        <v>20</v>
      </c>
      <c r="D65" s="18" t="s">
        <v>81</v>
      </c>
      <c r="E65" s="18" t="s">
        <v>155</v>
      </c>
      <c r="F65" s="18" t="s">
        <v>50</v>
      </c>
      <c r="G65" s="20" t="n">
        <v>46454</v>
      </c>
      <c r="H65" s="20" t="n">
        <v>46472</v>
      </c>
      <c r="I65" s="21" t="n">
        <v>46419</v>
      </c>
      <c r="J65" s="21" t="n">
        <v>46437</v>
      </c>
      <c r="K65" s="18" t="n">
        <f aca="false">IF(C65="Task",ROUND((J65-I65+3)/7,0),"")</f>
        <v>3</v>
      </c>
      <c r="L65" s="18" t="n">
        <v>1</v>
      </c>
      <c r="M65" s="21"/>
      <c r="N65" s="21"/>
      <c r="O65" s="22"/>
      <c r="P65" s="18" t="str">
        <f aca="false">IF(C65="Break","",IF(C65="Milestone",IF(N65&lt;&gt;"","Done",IF($D$4&gt;J65,"Overdue","Upcoming")),IF(N(O65)&gt;=1,"Done",IF($D$4&lt;I65,"Not started",IF($D$4&gt;J65,"Late",IF(N(O65)+0.1&lt;($D$4-I65+1)/(J65-I65+1),"Behind","On track"))))))</f>
        <v>Not started</v>
      </c>
      <c r="Q65" s="23" t="n">
        <f aca="false">IF(C65="Break","",ROUND((IF(N65&lt;&gt;"",N65,J65)-H65)/7,1))</f>
        <v>-5</v>
      </c>
      <c r="R65" s="18" t="str">
        <f aca="false">IF(C65="Milestone",IF(N65&lt;&gt;"","✓",""),IF(AND(C65="Task",N(O65)&gt;=1),"✓",""))</f>
        <v/>
      </c>
      <c r="S65" s="18" t="n">
        <f aca="false">IF(C65="Task",K65*N(O65),"")</f>
        <v>0</v>
      </c>
      <c r="T65" s="24"/>
      <c r="U65" s="25" t="str">
        <f aca="false">IF($C65="Milestone",IF(AND(U$7&lt;=$I65,U$7+6&gt;=$I65),"◆",""),IF(AND($C65="Task",$M65&lt;&gt;"",U$7&lt;=IF($N65="",$D$4,$N65),U$7+6&gt;=$M65),"●",""))</f>
        <v/>
      </c>
      <c r="V65" s="25" t="str">
        <f aca="false">IF($C65="Milestone",IF(AND(V$7&lt;=$I65,V$7+6&gt;=$I65),"◆",""),IF(AND($C65="Task",$M65&lt;&gt;"",V$7&lt;=IF($N65="",$D$4,$N65),V$7+6&gt;=$M65),"●",""))</f>
        <v/>
      </c>
      <c r="W65" s="25" t="str">
        <f aca="false">IF($C65="Milestone",IF(AND(W$7&lt;=$I65,W$7+6&gt;=$I65),"◆",""),IF(AND($C65="Task",$M65&lt;&gt;"",W$7&lt;=IF($N65="",$D$4,$N65),W$7+6&gt;=$M65),"●",""))</f>
        <v/>
      </c>
      <c r="X65" s="25" t="str">
        <f aca="false">IF($C65="Milestone",IF(AND(X$7&lt;=$I65,X$7+6&gt;=$I65),"◆",""),IF(AND($C65="Task",$M65&lt;&gt;"",X$7&lt;=IF($N65="",$D$4,$N65),X$7+6&gt;=$M65),"●",""))</f>
        <v/>
      </c>
      <c r="Y65" s="25" t="str">
        <f aca="false">IF($C65="Milestone",IF(AND(Y$7&lt;=$I65,Y$7+6&gt;=$I65),"◆",""),IF(AND($C65="Task",$M65&lt;&gt;"",Y$7&lt;=IF($N65="",$D$4,$N65),Y$7+6&gt;=$M65),"●",""))</f>
        <v/>
      </c>
      <c r="Z65" s="25" t="str">
        <f aca="false">IF($C65="Milestone",IF(AND(Z$7&lt;=$I65,Z$7+6&gt;=$I65),"◆",""),IF(AND($C65="Task",$M65&lt;&gt;"",Z$7&lt;=IF($N65="",$D$4,$N65),Z$7+6&gt;=$M65),"●",""))</f>
        <v/>
      </c>
      <c r="AA65" s="25" t="str">
        <f aca="false">IF($C65="Milestone",IF(AND(AA$7&lt;=$I65,AA$7+6&gt;=$I65),"◆",""),IF(AND($C65="Task",$M65&lt;&gt;"",AA$7&lt;=IF($N65="",$D$4,$N65),AA$7+6&gt;=$M65),"●",""))</f>
        <v/>
      </c>
      <c r="AB65" s="25" t="str">
        <f aca="false">IF($C65="Milestone",IF(AND(AB$7&lt;=$I65,AB$7+6&gt;=$I65),"◆",""),IF(AND($C65="Task",$M65&lt;&gt;"",AB$7&lt;=IF($N65="",$D$4,$N65),AB$7+6&gt;=$M65),"●",""))</f>
        <v/>
      </c>
      <c r="AC65" s="25" t="str">
        <f aca="false">IF($C65="Milestone",IF(AND(AC$7&lt;=$I65,AC$7+6&gt;=$I65),"◆",""),IF(AND($C65="Task",$M65&lt;&gt;"",AC$7&lt;=IF($N65="",$D$4,$N65),AC$7+6&gt;=$M65),"●",""))</f>
        <v/>
      </c>
      <c r="AD65" s="25" t="str">
        <f aca="false">IF($C65="Milestone",IF(AND(AD$7&lt;=$I65,AD$7+6&gt;=$I65),"◆",""),IF(AND($C65="Task",$M65&lt;&gt;"",AD$7&lt;=IF($N65="",$D$4,$N65),AD$7+6&gt;=$M65),"●",""))</f>
        <v/>
      </c>
      <c r="AE65" s="25" t="str">
        <f aca="false">IF($C65="Milestone",IF(AND(AE$7&lt;=$I65,AE$7+6&gt;=$I65),"◆",""),IF(AND($C65="Task",$M65&lt;&gt;"",AE$7&lt;=IF($N65="",$D$4,$N65),AE$7+6&gt;=$M65),"●",""))</f>
        <v/>
      </c>
      <c r="AF65" s="25" t="str">
        <f aca="false">IF($C65="Milestone",IF(AND(AF$7&lt;=$I65,AF$7+6&gt;=$I65),"◆",""),IF(AND($C65="Task",$M65&lt;&gt;"",AF$7&lt;=IF($N65="",$D$4,$N65),AF$7+6&gt;=$M65),"●",""))</f>
        <v/>
      </c>
      <c r="AG65" s="25" t="str">
        <f aca="false">IF($C65="Milestone",IF(AND(AG$7&lt;=$I65,AG$7+6&gt;=$I65),"◆",""),IF(AND($C65="Task",$M65&lt;&gt;"",AG$7&lt;=IF($N65="",$D$4,$N65),AG$7+6&gt;=$M65),"●",""))</f>
        <v/>
      </c>
      <c r="AH65" s="25" t="str">
        <f aca="false">IF($C65="Milestone",IF(AND(AH$7&lt;=$I65,AH$7+6&gt;=$I65),"◆",""),IF(AND($C65="Task",$M65&lt;&gt;"",AH$7&lt;=IF($N65="",$D$4,$N65),AH$7+6&gt;=$M65),"●",""))</f>
        <v/>
      </c>
      <c r="AI65" s="25" t="str">
        <f aca="false">IF($C65="Milestone",IF(AND(AI$7&lt;=$I65,AI$7+6&gt;=$I65),"◆",""),IF(AND($C65="Task",$M65&lt;&gt;"",AI$7&lt;=IF($N65="",$D$4,$N65),AI$7+6&gt;=$M65),"●",""))</f>
        <v/>
      </c>
      <c r="AJ65" s="25" t="str">
        <f aca="false">IF($C65="Milestone",IF(AND(AJ$7&lt;=$I65,AJ$7+6&gt;=$I65),"◆",""),IF(AND($C65="Task",$M65&lt;&gt;"",AJ$7&lt;=IF($N65="",$D$4,$N65),AJ$7+6&gt;=$M65),"●",""))</f>
        <v/>
      </c>
      <c r="AK65" s="25" t="str">
        <f aca="false">IF($C65="Milestone",IF(AND(AK$7&lt;=$I65,AK$7+6&gt;=$I65),"◆",""),IF(AND($C65="Task",$M65&lt;&gt;"",AK$7&lt;=IF($N65="",$D$4,$N65),AK$7+6&gt;=$M65),"●",""))</f>
        <v/>
      </c>
      <c r="AL65" s="25" t="str">
        <f aca="false">IF($C65="Milestone",IF(AND(AL$7&lt;=$I65,AL$7+6&gt;=$I65),"◆",""),IF(AND($C65="Task",$M65&lt;&gt;"",AL$7&lt;=IF($N65="",$D$4,$N65),AL$7+6&gt;=$M65),"●",""))</f>
        <v/>
      </c>
      <c r="AM65" s="25" t="str">
        <f aca="false">IF($C65="Milestone",IF(AND(AM$7&lt;=$I65,AM$7+6&gt;=$I65),"◆",""),IF(AND($C65="Task",$M65&lt;&gt;"",AM$7&lt;=IF($N65="",$D$4,$N65),AM$7+6&gt;=$M65),"●",""))</f>
        <v/>
      </c>
      <c r="AN65" s="25" t="str">
        <f aca="false">IF($C65="Milestone",IF(AND(AN$7&lt;=$I65,AN$7+6&gt;=$I65),"◆",""),IF(AND($C65="Task",$M65&lt;&gt;"",AN$7&lt;=IF($N65="",$D$4,$N65),AN$7+6&gt;=$M65),"●",""))</f>
        <v/>
      </c>
      <c r="AO65" s="25" t="str">
        <f aca="false">IF($C65="Milestone",IF(AND(AO$7&lt;=$I65,AO$7+6&gt;=$I65),"◆",""),IF(AND($C65="Task",$M65&lt;&gt;"",AO$7&lt;=IF($N65="",$D$4,$N65),AO$7+6&gt;=$M65),"●",""))</f>
        <v/>
      </c>
      <c r="AP65" s="25" t="str">
        <f aca="false">IF($C65="Milestone",IF(AND(AP$7&lt;=$I65,AP$7+6&gt;=$I65),"◆",""),IF(AND($C65="Task",$M65&lt;&gt;"",AP$7&lt;=IF($N65="",$D$4,$N65),AP$7+6&gt;=$M65),"●",""))</f>
        <v/>
      </c>
      <c r="AQ65" s="25" t="str">
        <f aca="false">IF($C65="Milestone",IF(AND(AQ$7&lt;=$I65,AQ$7+6&gt;=$I65),"◆",""),IF(AND($C65="Task",$M65&lt;&gt;"",AQ$7&lt;=IF($N65="",$D$4,$N65),AQ$7+6&gt;=$M65),"●",""))</f>
        <v/>
      </c>
      <c r="AR65" s="25" t="str">
        <f aca="false">IF($C65="Milestone",IF(AND(AR$7&lt;=$I65,AR$7+6&gt;=$I65),"◆",""),IF(AND($C65="Task",$M65&lt;&gt;"",AR$7&lt;=IF($N65="",$D$4,$N65),AR$7+6&gt;=$M65),"●",""))</f>
        <v/>
      </c>
      <c r="AS65" s="25" t="str">
        <f aca="false">IF($C65="Milestone",IF(AND(AS$7&lt;=$I65,AS$7+6&gt;=$I65),"◆",""),IF(AND($C65="Task",$M65&lt;&gt;"",AS$7&lt;=IF($N65="",$D$4,$N65),AS$7+6&gt;=$M65),"●",""))</f>
        <v/>
      </c>
      <c r="AT65" s="25" t="str">
        <f aca="false">IF($C65="Milestone",IF(AND(AT$7&lt;=$I65,AT$7+6&gt;=$I65),"◆",""),IF(AND($C65="Task",$M65&lt;&gt;"",AT$7&lt;=IF($N65="",$D$4,$N65),AT$7+6&gt;=$M65),"●",""))</f>
        <v/>
      </c>
      <c r="AU65" s="25" t="str">
        <f aca="false">IF($C65="Milestone",IF(AND(AU$7&lt;=$I65,AU$7+6&gt;=$I65),"◆",""),IF(AND($C65="Task",$M65&lt;&gt;"",AU$7&lt;=IF($N65="",$D$4,$N65),AU$7+6&gt;=$M65),"●",""))</f>
        <v/>
      </c>
      <c r="AV65" s="25" t="str">
        <f aca="false">IF($C65="Milestone",IF(AND(AV$7&lt;=$I65,AV$7+6&gt;=$I65),"◆",""),IF(AND($C65="Task",$M65&lt;&gt;"",AV$7&lt;=IF($N65="",$D$4,$N65),AV$7+6&gt;=$M65),"●",""))</f>
        <v/>
      </c>
      <c r="AW65" s="25" t="str">
        <f aca="false">IF($C65="Milestone",IF(AND(AW$7&lt;=$I65,AW$7+6&gt;=$I65),"◆",""),IF(AND($C65="Task",$M65&lt;&gt;"",AW$7&lt;=IF($N65="",$D$4,$N65),AW$7+6&gt;=$M65),"●",""))</f>
        <v/>
      </c>
      <c r="AX65" s="25" t="str">
        <f aca="false">IF($C65="Milestone",IF(AND(AX$7&lt;=$I65,AX$7+6&gt;=$I65),"◆",""),IF(AND($C65="Task",$M65&lt;&gt;"",AX$7&lt;=IF($N65="",$D$4,$N65),AX$7+6&gt;=$M65),"●",""))</f>
        <v/>
      </c>
      <c r="AY65" s="25" t="str">
        <f aca="false">IF($C65="Milestone",IF(AND(AY$7&lt;=$I65,AY$7+6&gt;=$I65),"◆",""),IF(AND($C65="Task",$M65&lt;&gt;"",AY$7&lt;=IF($N65="",$D$4,$N65),AY$7+6&gt;=$M65),"●",""))</f>
        <v/>
      </c>
      <c r="AZ65" s="25" t="str">
        <f aca="false">IF($C65="Milestone",IF(AND(AZ$7&lt;=$I65,AZ$7+6&gt;=$I65),"◆",""),IF(AND($C65="Task",$M65&lt;&gt;"",AZ$7&lt;=IF($N65="",$D$4,$N65),AZ$7+6&gt;=$M65),"●",""))</f>
        <v/>
      </c>
    </row>
    <row r="66" customFormat="false" ht="18" hidden="false" customHeight="true" outlineLevel="0" collapsed="false">
      <c r="A66" s="18" t="s">
        <v>164</v>
      </c>
      <c r="B66" s="19" t="s">
        <v>165</v>
      </c>
      <c r="C66" s="18" t="s">
        <v>20</v>
      </c>
      <c r="D66" s="18" t="s">
        <v>81</v>
      </c>
      <c r="E66" s="18" t="s">
        <v>166</v>
      </c>
      <c r="F66" s="18" t="s">
        <v>44</v>
      </c>
      <c r="G66" s="20" t="n">
        <v>46468</v>
      </c>
      <c r="H66" s="20" t="n">
        <v>46472</v>
      </c>
      <c r="I66" s="21" t="n">
        <v>46433</v>
      </c>
      <c r="J66" s="21" t="n">
        <v>46437</v>
      </c>
      <c r="K66" s="18" t="n">
        <f aca="false">IF(C66="Task",ROUND((J66-I66+3)/7,0),"")</f>
        <v>1</v>
      </c>
      <c r="L66" s="18" t="n">
        <v>0</v>
      </c>
      <c r="M66" s="21"/>
      <c r="N66" s="21"/>
      <c r="O66" s="22"/>
      <c r="P66" s="18" t="str">
        <f aca="false">IF(C66="Break","",IF(C66="Milestone",IF(N66&lt;&gt;"","Done",IF($D$4&gt;J66,"Overdue","Upcoming")),IF(N(O66)&gt;=1,"Done",IF($D$4&lt;I66,"Not started",IF($D$4&gt;J66,"Late",IF(N(O66)+0.1&lt;($D$4-I66+1)/(J66-I66+1),"Behind","On track"))))))</f>
        <v>Not started</v>
      </c>
      <c r="Q66" s="23" t="n">
        <f aca="false">IF(C66="Break","",ROUND((IF(N66&lt;&gt;"",N66,J66)-H66)/7,1))</f>
        <v>-5</v>
      </c>
      <c r="R66" s="18" t="str">
        <f aca="false">IF(C66="Milestone",IF(N66&lt;&gt;"","✓",""),IF(AND(C66="Task",N(O66)&gt;=1),"✓",""))</f>
        <v/>
      </c>
      <c r="S66" s="18" t="n">
        <f aca="false">IF(C66="Task",K66*N(O66),"")</f>
        <v>0</v>
      </c>
      <c r="T66" s="24"/>
      <c r="U66" s="25" t="str">
        <f aca="false">IF($C66="Milestone",IF(AND(U$7&lt;=$I66,U$7+6&gt;=$I66),"◆",""),IF(AND($C66="Task",$M66&lt;&gt;"",U$7&lt;=IF($N66="",$D$4,$N66),U$7+6&gt;=$M66),"●",""))</f>
        <v/>
      </c>
      <c r="V66" s="25" t="str">
        <f aca="false">IF($C66="Milestone",IF(AND(V$7&lt;=$I66,V$7+6&gt;=$I66),"◆",""),IF(AND($C66="Task",$M66&lt;&gt;"",V$7&lt;=IF($N66="",$D$4,$N66),V$7+6&gt;=$M66),"●",""))</f>
        <v/>
      </c>
      <c r="W66" s="25" t="str">
        <f aca="false">IF($C66="Milestone",IF(AND(W$7&lt;=$I66,W$7+6&gt;=$I66),"◆",""),IF(AND($C66="Task",$M66&lt;&gt;"",W$7&lt;=IF($N66="",$D$4,$N66),W$7+6&gt;=$M66),"●",""))</f>
        <v/>
      </c>
      <c r="X66" s="25" t="str">
        <f aca="false">IF($C66="Milestone",IF(AND(X$7&lt;=$I66,X$7+6&gt;=$I66),"◆",""),IF(AND($C66="Task",$M66&lt;&gt;"",X$7&lt;=IF($N66="",$D$4,$N66),X$7+6&gt;=$M66),"●",""))</f>
        <v/>
      </c>
      <c r="Y66" s="25" t="str">
        <f aca="false">IF($C66="Milestone",IF(AND(Y$7&lt;=$I66,Y$7+6&gt;=$I66),"◆",""),IF(AND($C66="Task",$M66&lt;&gt;"",Y$7&lt;=IF($N66="",$D$4,$N66),Y$7+6&gt;=$M66),"●",""))</f>
        <v/>
      </c>
      <c r="Z66" s="25" t="str">
        <f aca="false">IF($C66="Milestone",IF(AND(Z$7&lt;=$I66,Z$7+6&gt;=$I66),"◆",""),IF(AND($C66="Task",$M66&lt;&gt;"",Z$7&lt;=IF($N66="",$D$4,$N66),Z$7+6&gt;=$M66),"●",""))</f>
        <v/>
      </c>
      <c r="AA66" s="25" t="str">
        <f aca="false">IF($C66="Milestone",IF(AND(AA$7&lt;=$I66,AA$7+6&gt;=$I66),"◆",""),IF(AND($C66="Task",$M66&lt;&gt;"",AA$7&lt;=IF($N66="",$D$4,$N66),AA$7+6&gt;=$M66),"●",""))</f>
        <v/>
      </c>
      <c r="AB66" s="25" t="str">
        <f aca="false">IF($C66="Milestone",IF(AND(AB$7&lt;=$I66,AB$7+6&gt;=$I66),"◆",""),IF(AND($C66="Task",$M66&lt;&gt;"",AB$7&lt;=IF($N66="",$D$4,$N66),AB$7+6&gt;=$M66),"●",""))</f>
        <v/>
      </c>
      <c r="AC66" s="25" t="str">
        <f aca="false">IF($C66="Milestone",IF(AND(AC$7&lt;=$I66,AC$7+6&gt;=$I66),"◆",""),IF(AND($C66="Task",$M66&lt;&gt;"",AC$7&lt;=IF($N66="",$D$4,$N66),AC$7+6&gt;=$M66),"●",""))</f>
        <v/>
      </c>
      <c r="AD66" s="25" t="str">
        <f aca="false">IF($C66="Milestone",IF(AND(AD$7&lt;=$I66,AD$7+6&gt;=$I66),"◆",""),IF(AND($C66="Task",$M66&lt;&gt;"",AD$7&lt;=IF($N66="",$D$4,$N66),AD$7+6&gt;=$M66),"●",""))</f>
        <v/>
      </c>
      <c r="AE66" s="25" t="str">
        <f aca="false">IF($C66="Milestone",IF(AND(AE$7&lt;=$I66,AE$7+6&gt;=$I66),"◆",""),IF(AND($C66="Task",$M66&lt;&gt;"",AE$7&lt;=IF($N66="",$D$4,$N66),AE$7+6&gt;=$M66),"●",""))</f>
        <v/>
      </c>
      <c r="AF66" s="25" t="str">
        <f aca="false">IF($C66="Milestone",IF(AND(AF$7&lt;=$I66,AF$7+6&gt;=$I66),"◆",""),IF(AND($C66="Task",$M66&lt;&gt;"",AF$7&lt;=IF($N66="",$D$4,$N66),AF$7+6&gt;=$M66),"●",""))</f>
        <v/>
      </c>
      <c r="AG66" s="25" t="str">
        <f aca="false">IF($C66="Milestone",IF(AND(AG$7&lt;=$I66,AG$7+6&gt;=$I66),"◆",""),IF(AND($C66="Task",$M66&lt;&gt;"",AG$7&lt;=IF($N66="",$D$4,$N66),AG$7+6&gt;=$M66),"●",""))</f>
        <v/>
      </c>
      <c r="AH66" s="25" t="str">
        <f aca="false">IF($C66="Milestone",IF(AND(AH$7&lt;=$I66,AH$7+6&gt;=$I66),"◆",""),IF(AND($C66="Task",$M66&lt;&gt;"",AH$7&lt;=IF($N66="",$D$4,$N66),AH$7+6&gt;=$M66),"●",""))</f>
        <v/>
      </c>
      <c r="AI66" s="25" t="str">
        <f aca="false">IF($C66="Milestone",IF(AND(AI$7&lt;=$I66,AI$7+6&gt;=$I66),"◆",""),IF(AND($C66="Task",$M66&lt;&gt;"",AI$7&lt;=IF($N66="",$D$4,$N66),AI$7+6&gt;=$M66),"●",""))</f>
        <v/>
      </c>
      <c r="AJ66" s="25" t="str">
        <f aca="false">IF($C66="Milestone",IF(AND(AJ$7&lt;=$I66,AJ$7+6&gt;=$I66),"◆",""),IF(AND($C66="Task",$M66&lt;&gt;"",AJ$7&lt;=IF($N66="",$D$4,$N66),AJ$7+6&gt;=$M66),"●",""))</f>
        <v/>
      </c>
      <c r="AK66" s="25" t="str">
        <f aca="false">IF($C66="Milestone",IF(AND(AK$7&lt;=$I66,AK$7+6&gt;=$I66),"◆",""),IF(AND($C66="Task",$M66&lt;&gt;"",AK$7&lt;=IF($N66="",$D$4,$N66),AK$7+6&gt;=$M66),"●",""))</f>
        <v/>
      </c>
      <c r="AL66" s="25" t="str">
        <f aca="false">IF($C66="Milestone",IF(AND(AL$7&lt;=$I66,AL$7+6&gt;=$I66),"◆",""),IF(AND($C66="Task",$M66&lt;&gt;"",AL$7&lt;=IF($N66="",$D$4,$N66),AL$7+6&gt;=$M66),"●",""))</f>
        <v/>
      </c>
      <c r="AM66" s="25" t="str">
        <f aca="false">IF($C66="Milestone",IF(AND(AM$7&lt;=$I66,AM$7+6&gt;=$I66),"◆",""),IF(AND($C66="Task",$M66&lt;&gt;"",AM$7&lt;=IF($N66="",$D$4,$N66),AM$7+6&gt;=$M66),"●",""))</f>
        <v/>
      </c>
      <c r="AN66" s="25" t="str">
        <f aca="false">IF($C66="Milestone",IF(AND(AN$7&lt;=$I66,AN$7+6&gt;=$I66),"◆",""),IF(AND($C66="Task",$M66&lt;&gt;"",AN$7&lt;=IF($N66="",$D$4,$N66),AN$7+6&gt;=$M66),"●",""))</f>
        <v/>
      </c>
      <c r="AO66" s="25" t="str">
        <f aca="false">IF($C66="Milestone",IF(AND(AO$7&lt;=$I66,AO$7+6&gt;=$I66),"◆",""),IF(AND($C66="Task",$M66&lt;&gt;"",AO$7&lt;=IF($N66="",$D$4,$N66),AO$7+6&gt;=$M66),"●",""))</f>
        <v/>
      </c>
      <c r="AP66" s="25" t="str">
        <f aca="false">IF($C66="Milestone",IF(AND(AP$7&lt;=$I66,AP$7+6&gt;=$I66),"◆",""),IF(AND($C66="Task",$M66&lt;&gt;"",AP$7&lt;=IF($N66="",$D$4,$N66),AP$7+6&gt;=$M66),"●",""))</f>
        <v/>
      </c>
      <c r="AQ66" s="25" t="str">
        <f aca="false">IF($C66="Milestone",IF(AND(AQ$7&lt;=$I66,AQ$7+6&gt;=$I66),"◆",""),IF(AND($C66="Task",$M66&lt;&gt;"",AQ$7&lt;=IF($N66="",$D$4,$N66),AQ$7+6&gt;=$M66),"●",""))</f>
        <v/>
      </c>
      <c r="AR66" s="25" t="str">
        <f aca="false">IF($C66="Milestone",IF(AND(AR$7&lt;=$I66,AR$7+6&gt;=$I66),"◆",""),IF(AND($C66="Task",$M66&lt;&gt;"",AR$7&lt;=IF($N66="",$D$4,$N66),AR$7+6&gt;=$M66),"●",""))</f>
        <v/>
      </c>
      <c r="AS66" s="25" t="str">
        <f aca="false">IF($C66="Milestone",IF(AND(AS$7&lt;=$I66,AS$7+6&gt;=$I66),"◆",""),IF(AND($C66="Task",$M66&lt;&gt;"",AS$7&lt;=IF($N66="",$D$4,$N66),AS$7+6&gt;=$M66),"●",""))</f>
        <v/>
      </c>
      <c r="AT66" s="25" t="str">
        <f aca="false">IF($C66="Milestone",IF(AND(AT$7&lt;=$I66,AT$7+6&gt;=$I66),"◆",""),IF(AND($C66="Task",$M66&lt;&gt;"",AT$7&lt;=IF($N66="",$D$4,$N66),AT$7+6&gt;=$M66),"●",""))</f>
        <v/>
      </c>
      <c r="AU66" s="25" t="str">
        <f aca="false">IF($C66="Milestone",IF(AND(AU$7&lt;=$I66,AU$7+6&gt;=$I66),"◆",""),IF(AND($C66="Task",$M66&lt;&gt;"",AU$7&lt;=IF($N66="",$D$4,$N66),AU$7+6&gt;=$M66),"●",""))</f>
        <v/>
      </c>
      <c r="AV66" s="25" t="str">
        <f aca="false">IF($C66="Milestone",IF(AND(AV$7&lt;=$I66,AV$7+6&gt;=$I66),"◆",""),IF(AND($C66="Task",$M66&lt;&gt;"",AV$7&lt;=IF($N66="",$D$4,$N66),AV$7+6&gt;=$M66),"●",""))</f>
        <v/>
      </c>
      <c r="AW66" s="25" t="str">
        <f aca="false">IF($C66="Milestone",IF(AND(AW$7&lt;=$I66,AW$7+6&gt;=$I66),"◆",""),IF(AND($C66="Task",$M66&lt;&gt;"",AW$7&lt;=IF($N66="",$D$4,$N66),AW$7+6&gt;=$M66),"●",""))</f>
        <v/>
      </c>
      <c r="AX66" s="25" t="str">
        <f aca="false">IF($C66="Milestone",IF(AND(AX$7&lt;=$I66,AX$7+6&gt;=$I66),"◆",""),IF(AND($C66="Task",$M66&lt;&gt;"",AX$7&lt;=IF($N66="",$D$4,$N66),AX$7+6&gt;=$M66),"●",""))</f>
        <v/>
      </c>
      <c r="AY66" s="25" t="str">
        <f aca="false">IF($C66="Milestone",IF(AND(AY$7&lt;=$I66,AY$7+6&gt;=$I66),"◆",""),IF(AND($C66="Task",$M66&lt;&gt;"",AY$7&lt;=IF($N66="",$D$4,$N66),AY$7+6&gt;=$M66),"●",""))</f>
        <v/>
      </c>
      <c r="AZ66" s="25" t="str">
        <f aca="false">IF($C66="Milestone",IF(AND(AZ$7&lt;=$I66,AZ$7+6&gt;=$I66),"◆",""),IF(AND($C66="Task",$M66&lt;&gt;"",AZ$7&lt;=IF($N66="",$D$4,$N66),AZ$7+6&gt;=$M66),"●",""))</f>
        <v/>
      </c>
    </row>
    <row r="67" customFormat="false" ht="18" hidden="false" customHeight="true" outlineLevel="0" collapsed="false">
      <c r="A67" s="18" t="s">
        <v>167</v>
      </c>
      <c r="B67" s="19" t="s">
        <v>168</v>
      </c>
      <c r="C67" s="18" t="s">
        <v>43</v>
      </c>
      <c r="D67" s="18" t="s">
        <v>81</v>
      </c>
      <c r="E67" s="18" t="s">
        <v>164</v>
      </c>
      <c r="F67" s="18" t="s">
        <v>44</v>
      </c>
      <c r="G67" s="20" t="n">
        <v>46472</v>
      </c>
      <c r="H67" s="20" t="n">
        <v>46472</v>
      </c>
      <c r="I67" s="21" t="n">
        <v>46437</v>
      </c>
      <c r="J67" s="21" t="n">
        <v>46437</v>
      </c>
      <c r="K67" s="18" t="str">
        <f aca="false">IF(C67="Task",ROUND((J67-I67+3)/7,0),"")</f>
        <v/>
      </c>
      <c r="L67" s="18"/>
      <c r="M67" s="21"/>
      <c r="N67" s="21"/>
      <c r="O67" s="22"/>
      <c r="P67" s="18" t="str">
        <f aca="false">IF(C67="Break","",IF(C67="Milestone",IF(N67&lt;&gt;"","Done",IF($D$4&gt;J67,"Overdue","Upcoming")),IF(N(O67)&gt;=1,"Done",IF($D$4&lt;I67,"Not started",IF($D$4&gt;J67,"Late",IF(N(O67)+0.1&lt;($D$4-I67+1)/(J67-I67+1),"Behind","On track"))))))</f>
        <v>Upcoming</v>
      </c>
      <c r="Q67" s="23" t="n">
        <f aca="false">IF(C67="Break","",ROUND((IF(N67&lt;&gt;"",N67,J67)-H67)/7,1))</f>
        <v>-5</v>
      </c>
      <c r="R67" s="18" t="str">
        <f aca="false">IF(C67="Milestone",IF(N67&lt;&gt;"","✓",""),IF(AND(C67="Task",N(O67)&gt;=1),"✓",""))</f>
        <v/>
      </c>
      <c r="S67" s="18" t="str">
        <f aca="false">IF(C67="Task",K67*N(O67),"")</f>
        <v/>
      </c>
      <c r="T67" s="24"/>
      <c r="U67" s="25" t="str">
        <f aca="false">IF($C67="Milestone",IF(AND(U$7&lt;=$I67,U$7+6&gt;=$I67),"◆",""),IF(AND($C67="Task",$M67&lt;&gt;"",U$7&lt;=IF($N67="",$D$4,$N67),U$7+6&gt;=$M67),"●",""))</f>
        <v/>
      </c>
      <c r="V67" s="25" t="str">
        <f aca="false">IF($C67="Milestone",IF(AND(V$7&lt;=$I67,V$7+6&gt;=$I67),"◆",""),IF(AND($C67="Task",$M67&lt;&gt;"",V$7&lt;=IF($N67="",$D$4,$N67),V$7+6&gt;=$M67),"●",""))</f>
        <v/>
      </c>
      <c r="W67" s="25" t="str">
        <f aca="false">IF($C67="Milestone",IF(AND(W$7&lt;=$I67,W$7+6&gt;=$I67),"◆",""),IF(AND($C67="Task",$M67&lt;&gt;"",W$7&lt;=IF($N67="",$D$4,$N67),W$7+6&gt;=$M67),"●",""))</f>
        <v/>
      </c>
      <c r="X67" s="25" t="str">
        <f aca="false">IF($C67="Milestone",IF(AND(X$7&lt;=$I67,X$7+6&gt;=$I67),"◆",""),IF(AND($C67="Task",$M67&lt;&gt;"",X$7&lt;=IF($N67="",$D$4,$N67),X$7+6&gt;=$M67),"●",""))</f>
        <v/>
      </c>
      <c r="Y67" s="25" t="str">
        <f aca="false">IF($C67="Milestone",IF(AND(Y$7&lt;=$I67,Y$7+6&gt;=$I67),"◆",""),IF(AND($C67="Task",$M67&lt;&gt;"",Y$7&lt;=IF($N67="",$D$4,$N67),Y$7+6&gt;=$M67),"●",""))</f>
        <v/>
      </c>
      <c r="Z67" s="25" t="str">
        <f aca="false">IF($C67="Milestone",IF(AND(Z$7&lt;=$I67,Z$7+6&gt;=$I67),"◆",""),IF(AND($C67="Task",$M67&lt;&gt;"",Z$7&lt;=IF($N67="",$D$4,$N67),Z$7+6&gt;=$M67),"●",""))</f>
        <v/>
      </c>
      <c r="AA67" s="25" t="str">
        <f aca="false">IF($C67="Milestone",IF(AND(AA$7&lt;=$I67,AA$7+6&gt;=$I67),"◆",""),IF(AND($C67="Task",$M67&lt;&gt;"",AA$7&lt;=IF($N67="",$D$4,$N67),AA$7+6&gt;=$M67),"●",""))</f>
        <v/>
      </c>
      <c r="AB67" s="25" t="str">
        <f aca="false">IF($C67="Milestone",IF(AND(AB$7&lt;=$I67,AB$7+6&gt;=$I67),"◆",""),IF(AND($C67="Task",$M67&lt;&gt;"",AB$7&lt;=IF($N67="",$D$4,$N67),AB$7+6&gt;=$M67),"●",""))</f>
        <v/>
      </c>
      <c r="AC67" s="25" t="str">
        <f aca="false">IF($C67="Milestone",IF(AND(AC$7&lt;=$I67,AC$7+6&gt;=$I67),"◆",""),IF(AND($C67="Task",$M67&lt;&gt;"",AC$7&lt;=IF($N67="",$D$4,$N67),AC$7+6&gt;=$M67),"●",""))</f>
        <v/>
      </c>
      <c r="AD67" s="25" t="str">
        <f aca="false">IF($C67="Milestone",IF(AND(AD$7&lt;=$I67,AD$7+6&gt;=$I67),"◆",""),IF(AND($C67="Task",$M67&lt;&gt;"",AD$7&lt;=IF($N67="",$D$4,$N67),AD$7+6&gt;=$M67),"●",""))</f>
        <v/>
      </c>
      <c r="AE67" s="25" t="str">
        <f aca="false">IF($C67="Milestone",IF(AND(AE$7&lt;=$I67,AE$7+6&gt;=$I67),"◆",""),IF(AND($C67="Task",$M67&lt;&gt;"",AE$7&lt;=IF($N67="",$D$4,$N67),AE$7+6&gt;=$M67),"●",""))</f>
        <v/>
      </c>
      <c r="AF67" s="25" t="str">
        <f aca="false">IF($C67="Milestone",IF(AND(AF$7&lt;=$I67,AF$7+6&gt;=$I67),"◆",""),IF(AND($C67="Task",$M67&lt;&gt;"",AF$7&lt;=IF($N67="",$D$4,$N67),AF$7+6&gt;=$M67),"●",""))</f>
        <v/>
      </c>
      <c r="AG67" s="25" t="str">
        <f aca="false">IF($C67="Milestone",IF(AND(AG$7&lt;=$I67,AG$7+6&gt;=$I67),"◆",""),IF(AND($C67="Task",$M67&lt;&gt;"",AG$7&lt;=IF($N67="",$D$4,$N67),AG$7+6&gt;=$M67),"●",""))</f>
        <v/>
      </c>
      <c r="AH67" s="25" t="str">
        <f aca="false">IF($C67="Milestone",IF(AND(AH$7&lt;=$I67,AH$7+6&gt;=$I67),"◆",""),IF(AND($C67="Task",$M67&lt;&gt;"",AH$7&lt;=IF($N67="",$D$4,$N67),AH$7+6&gt;=$M67),"●",""))</f>
        <v/>
      </c>
      <c r="AI67" s="25" t="str">
        <f aca="false">IF($C67="Milestone",IF(AND(AI$7&lt;=$I67,AI$7+6&gt;=$I67),"◆",""),IF(AND($C67="Task",$M67&lt;&gt;"",AI$7&lt;=IF($N67="",$D$4,$N67),AI$7+6&gt;=$M67),"●",""))</f>
        <v/>
      </c>
      <c r="AJ67" s="25" t="str">
        <f aca="false">IF($C67="Milestone",IF(AND(AJ$7&lt;=$I67,AJ$7+6&gt;=$I67),"◆",""),IF(AND($C67="Task",$M67&lt;&gt;"",AJ$7&lt;=IF($N67="",$D$4,$N67),AJ$7+6&gt;=$M67),"●",""))</f>
        <v/>
      </c>
      <c r="AK67" s="25" t="str">
        <f aca="false">IF($C67="Milestone",IF(AND(AK$7&lt;=$I67,AK$7+6&gt;=$I67),"◆",""),IF(AND($C67="Task",$M67&lt;&gt;"",AK$7&lt;=IF($N67="",$D$4,$N67),AK$7+6&gt;=$M67),"●",""))</f>
        <v/>
      </c>
      <c r="AL67" s="25" t="str">
        <f aca="false">IF($C67="Milestone",IF(AND(AL$7&lt;=$I67,AL$7+6&gt;=$I67),"◆",""),IF(AND($C67="Task",$M67&lt;&gt;"",AL$7&lt;=IF($N67="",$D$4,$N67),AL$7+6&gt;=$M67),"●",""))</f>
        <v>◆</v>
      </c>
      <c r="AM67" s="25" t="str">
        <f aca="false">IF($C67="Milestone",IF(AND(AM$7&lt;=$I67,AM$7+6&gt;=$I67),"◆",""),IF(AND($C67="Task",$M67&lt;&gt;"",AM$7&lt;=IF($N67="",$D$4,$N67),AM$7+6&gt;=$M67),"●",""))</f>
        <v/>
      </c>
      <c r="AN67" s="25" t="str">
        <f aca="false">IF($C67="Milestone",IF(AND(AN$7&lt;=$I67,AN$7+6&gt;=$I67),"◆",""),IF(AND($C67="Task",$M67&lt;&gt;"",AN$7&lt;=IF($N67="",$D$4,$N67),AN$7+6&gt;=$M67),"●",""))</f>
        <v/>
      </c>
      <c r="AO67" s="25" t="str">
        <f aca="false">IF($C67="Milestone",IF(AND(AO$7&lt;=$I67,AO$7+6&gt;=$I67),"◆",""),IF(AND($C67="Task",$M67&lt;&gt;"",AO$7&lt;=IF($N67="",$D$4,$N67),AO$7+6&gt;=$M67),"●",""))</f>
        <v/>
      </c>
      <c r="AP67" s="25" t="str">
        <f aca="false">IF($C67="Milestone",IF(AND(AP$7&lt;=$I67,AP$7+6&gt;=$I67),"◆",""),IF(AND($C67="Task",$M67&lt;&gt;"",AP$7&lt;=IF($N67="",$D$4,$N67),AP$7+6&gt;=$M67),"●",""))</f>
        <v/>
      </c>
      <c r="AQ67" s="25" t="str">
        <f aca="false">IF($C67="Milestone",IF(AND(AQ$7&lt;=$I67,AQ$7+6&gt;=$I67),"◆",""),IF(AND($C67="Task",$M67&lt;&gt;"",AQ$7&lt;=IF($N67="",$D$4,$N67),AQ$7+6&gt;=$M67),"●",""))</f>
        <v/>
      </c>
      <c r="AR67" s="25" t="str">
        <f aca="false">IF($C67="Milestone",IF(AND(AR$7&lt;=$I67,AR$7+6&gt;=$I67),"◆",""),IF(AND($C67="Task",$M67&lt;&gt;"",AR$7&lt;=IF($N67="",$D$4,$N67),AR$7+6&gt;=$M67),"●",""))</f>
        <v/>
      </c>
      <c r="AS67" s="25" t="str">
        <f aca="false">IF($C67="Milestone",IF(AND(AS$7&lt;=$I67,AS$7+6&gt;=$I67),"◆",""),IF(AND($C67="Task",$M67&lt;&gt;"",AS$7&lt;=IF($N67="",$D$4,$N67),AS$7+6&gt;=$M67),"●",""))</f>
        <v/>
      </c>
      <c r="AT67" s="25" t="str">
        <f aca="false">IF($C67="Milestone",IF(AND(AT$7&lt;=$I67,AT$7+6&gt;=$I67),"◆",""),IF(AND($C67="Task",$M67&lt;&gt;"",AT$7&lt;=IF($N67="",$D$4,$N67),AT$7+6&gt;=$M67),"●",""))</f>
        <v/>
      </c>
      <c r="AU67" s="25" t="str">
        <f aca="false">IF($C67="Milestone",IF(AND(AU$7&lt;=$I67,AU$7+6&gt;=$I67),"◆",""),IF(AND($C67="Task",$M67&lt;&gt;"",AU$7&lt;=IF($N67="",$D$4,$N67),AU$7+6&gt;=$M67),"●",""))</f>
        <v/>
      </c>
      <c r="AV67" s="25" t="str">
        <f aca="false">IF($C67="Milestone",IF(AND(AV$7&lt;=$I67,AV$7+6&gt;=$I67),"◆",""),IF(AND($C67="Task",$M67&lt;&gt;"",AV$7&lt;=IF($N67="",$D$4,$N67),AV$7+6&gt;=$M67),"●",""))</f>
        <v/>
      </c>
      <c r="AW67" s="25" t="str">
        <f aca="false">IF($C67="Milestone",IF(AND(AW$7&lt;=$I67,AW$7+6&gt;=$I67),"◆",""),IF(AND($C67="Task",$M67&lt;&gt;"",AW$7&lt;=IF($N67="",$D$4,$N67),AW$7+6&gt;=$M67),"●",""))</f>
        <v/>
      </c>
      <c r="AX67" s="25" t="str">
        <f aca="false">IF($C67="Milestone",IF(AND(AX$7&lt;=$I67,AX$7+6&gt;=$I67),"◆",""),IF(AND($C67="Task",$M67&lt;&gt;"",AX$7&lt;=IF($N67="",$D$4,$N67),AX$7+6&gt;=$M67),"●",""))</f>
        <v/>
      </c>
      <c r="AY67" s="25" t="str">
        <f aca="false">IF($C67="Milestone",IF(AND(AY$7&lt;=$I67,AY$7+6&gt;=$I67),"◆",""),IF(AND($C67="Task",$M67&lt;&gt;"",AY$7&lt;=IF($N67="",$D$4,$N67),AY$7+6&gt;=$M67),"●",""))</f>
        <v/>
      </c>
      <c r="AZ67" s="25" t="str">
        <f aca="false">IF($C67="Milestone",IF(AND(AZ$7&lt;=$I67,AZ$7+6&gt;=$I67),"◆",""),IF(AND($C67="Task",$M67&lt;&gt;"",AZ$7&lt;=IF($N67="",$D$4,$N67),AZ$7+6&gt;=$M67),"●",""))</f>
        <v/>
      </c>
    </row>
    <row r="68" customFormat="false" ht="18" hidden="false" customHeight="true" outlineLevel="0" collapsed="false">
      <c r="A68" s="18" t="s">
        <v>169</v>
      </c>
      <c r="B68" s="19" t="s">
        <v>170</v>
      </c>
      <c r="C68" s="18" t="s">
        <v>20</v>
      </c>
      <c r="D68" s="18"/>
      <c r="E68" s="18" t="s">
        <v>155</v>
      </c>
      <c r="F68" s="18" t="s">
        <v>50</v>
      </c>
      <c r="G68" s="20" t="n">
        <v>46454</v>
      </c>
      <c r="H68" s="20" t="n">
        <v>46479</v>
      </c>
      <c r="I68" s="21" t="n">
        <v>46440</v>
      </c>
      <c r="J68" s="21" t="n">
        <v>46465</v>
      </c>
      <c r="K68" s="18" t="n">
        <f aca="false">IF(C68="Task",ROUND((J68-I68+3)/7,0),"")</f>
        <v>4</v>
      </c>
      <c r="L68" s="18" t="n">
        <v>0</v>
      </c>
      <c r="M68" s="21"/>
      <c r="N68" s="21"/>
      <c r="O68" s="22"/>
      <c r="P68" s="18" t="str">
        <f aca="false">IF(C68="Break","",IF(C68="Milestone",IF(N68&lt;&gt;"","Done",IF($D$4&gt;J68,"Overdue","Upcoming")),IF(N(O68)&gt;=1,"Done",IF($D$4&lt;I68,"Not started",IF($D$4&gt;J68,"Late",IF(N(O68)+0.1&lt;($D$4-I68+1)/(J68-I68+1),"Behind","On track"))))))</f>
        <v>Not started</v>
      </c>
      <c r="Q68" s="23" t="n">
        <f aca="false">IF(C68="Break","",ROUND((IF(N68&lt;&gt;"",N68,J68)-H68)/7,1))</f>
        <v>-2</v>
      </c>
      <c r="R68" s="18" t="str">
        <f aca="false">IF(C68="Milestone",IF(N68&lt;&gt;"","✓",""),IF(AND(C68="Task",N(O68)&gt;=1),"✓",""))</f>
        <v/>
      </c>
      <c r="S68" s="18" t="n">
        <f aca="false">IF(C68="Task",K68*N(O68),"")</f>
        <v>0</v>
      </c>
      <c r="T68" s="24"/>
      <c r="U68" s="25" t="str">
        <f aca="false">IF($C68="Milestone",IF(AND(U$7&lt;=$I68,U$7+6&gt;=$I68),"◆",""),IF(AND($C68="Task",$M68&lt;&gt;"",U$7&lt;=IF($N68="",$D$4,$N68),U$7+6&gt;=$M68),"●",""))</f>
        <v/>
      </c>
      <c r="V68" s="25" t="str">
        <f aca="false">IF($C68="Milestone",IF(AND(V$7&lt;=$I68,V$7+6&gt;=$I68),"◆",""),IF(AND($C68="Task",$M68&lt;&gt;"",V$7&lt;=IF($N68="",$D$4,$N68),V$7+6&gt;=$M68),"●",""))</f>
        <v/>
      </c>
      <c r="W68" s="25" t="str">
        <f aca="false">IF($C68="Milestone",IF(AND(W$7&lt;=$I68,W$7+6&gt;=$I68),"◆",""),IF(AND($C68="Task",$M68&lt;&gt;"",W$7&lt;=IF($N68="",$D$4,$N68),W$7+6&gt;=$M68),"●",""))</f>
        <v/>
      </c>
      <c r="X68" s="25" t="str">
        <f aca="false">IF($C68="Milestone",IF(AND(X$7&lt;=$I68,X$7+6&gt;=$I68),"◆",""),IF(AND($C68="Task",$M68&lt;&gt;"",X$7&lt;=IF($N68="",$D$4,$N68),X$7+6&gt;=$M68),"●",""))</f>
        <v/>
      </c>
      <c r="Y68" s="25" t="str">
        <f aca="false">IF($C68="Milestone",IF(AND(Y$7&lt;=$I68,Y$7+6&gt;=$I68),"◆",""),IF(AND($C68="Task",$M68&lt;&gt;"",Y$7&lt;=IF($N68="",$D$4,$N68),Y$7+6&gt;=$M68),"●",""))</f>
        <v/>
      </c>
      <c r="Z68" s="25" t="str">
        <f aca="false">IF($C68="Milestone",IF(AND(Z$7&lt;=$I68,Z$7+6&gt;=$I68),"◆",""),IF(AND($C68="Task",$M68&lt;&gt;"",Z$7&lt;=IF($N68="",$D$4,$N68),Z$7+6&gt;=$M68),"●",""))</f>
        <v/>
      </c>
      <c r="AA68" s="25" t="str">
        <f aca="false">IF($C68="Milestone",IF(AND(AA$7&lt;=$I68,AA$7+6&gt;=$I68),"◆",""),IF(AND($C68="Task",$M68&lt;&gt;"",AA$7&lt;=IF($N68="",$D$4,$N68),AA$7+6&gt;=$M68),"●",""))</f>
        <v/>
      </c>
      <c r="AB68" s="25" t="str">
        <f aca="false">IF($C68="Milestone",IF(AND(AB$7&lt;=$I68,AB$7+6&gt;=$I68),"◆",""),IF(AND($C68="Task",$M68&lt;&gt;"",AB$7&lt;=IF($N68="",$D$4,$N68),AB$7+6&gt;=$M68),"●",""))</f>
        <v/>
      </c>
      <c r="AC68" s="25" t="str">
        <f aca="false">IF($C68="Milestone",IF(AND(AC$7&lt;=$I68,AC$7+6&gt;=$I68),"◆",""),IF(AND($C68="Task",$M68&lt;&gt;"",AC$7&lt;=IF($N68="",$D$4,$N68),AC$7+6&gt;=$M68),"●",""))</f>
        <v/>
      </c>
      <c r="AD68" s="25" t="str">
        <f aca="false">IF($C68="Milestone",IF(AND(AD$7&lt;=$I68,AD$7+6&gt;=$I68),"◆",""),IF(AND($C68="Task",$M68&lt;&gt;"",AD$7&lt;=IF($N68="",$D$4,$N68),AD$7+6&gt;=$M68),"●",""))</f>
        <v/>
      </c>
      <c r="AE68" s="25" t="str">
        <f aca="false">IF($C68="Milestone",IF(AND(AE$7&lt;=$I68,AE$7+6&gt;=$I68),"◆",""),IF(AND($C68="Task",$M68&lt;&gt;"",AE$7&lt;=IF($N68="",$D$4,$N68),AE$7+6&gt;=$M68),"●",""))</f>
        <v/>
      </c>
      <c r="AF68" s="25" t="str">
        <f aca="false">IF($C68="Milestone",IF(AND(AF$7&lt;=$I68,AF$7+6&gt;=$I68),"◆",""),IF(AND($C68="Task",$M68&lt;&gt;"",AF$7&lt;=IF($N68="",$D$4,$N68),AF$7+6&gt;=$M68),"●",""))</f>
        <v/>
      </c>
      <c r="AG68" s="25" t="str">
        <f aca="false">IF($C68="Milestone",IF(AND(AG$7&lt;=$I68,AG$7+6&gt;=$I68),"◆",""),IF(AND($C68="Task",$M68&lt;&gt;"",AG$7&lt;=IF($N68="",$D$4,$N68),AG$7+6&gt;=$M68),"●",""))</f>
        <v/>
      </c>
      <c r="AH68" s="25" t="str">
        <f aca="false">IF($C68="Milestone",IF(AND(AH$7&lt;=$I68,AH$7+6&gt;=$I68),"◆",""),IF(AND($C68="Task",$M68&lt;&gt;"",AH$7&lt;=IF($N68="",$D$4,$N68),AH$7+6&gt;=$M68),"●",""))</f>
        <v/>
      </c>
      <c r="AI68" s="25" t="str">
        <f aca="false">IF($C68="Milestone",IF(AND(AI$7&lt;=$I68,AI$7+6&gt;=$I68),"◆",""),IF(AND($C68="Task",$M68&lt;&gt;"",AI$7&lt;=IF($N68="",$D$4,$N68),AI$7+6&gt;=$M68),"●",""))</f>
        <v/>
      </c>
      <c r="AJ68" s="25" t="str">
        <f aca="false">IF($C68="Milestone",IF(AND(AJ$7&lt;=$I68,AJ$7+6&gt;=$I68),"◆",""),IF(AND($C68="Task",$M68&lt;&gt;"",AJ$7&lt;=IF($N68="",$D$4,$N68),AJ$7+6&gt;=$M68),"●",""))</f>
        <v/>
      </c>
      <c r="AK68" s="25" t="str">
        <f aca="false">IF($C68="Milestone",IF(AND(AK$7&lt;=$I68,AK$7+6&gt;=$I68),"◆",""),IF(AND($C68="Task",$M68&lt;&gt;"",AK$7&lt;=IF($N68="",$D$4,$N68),AK$7+6&gt;=$M68),"●",""))</f>
        <v/>
      </c>
      <c r="AL68" s="25" t="str">
        <f aca="false">IF($C68="Milestone",IF(AND(AL$7&lt;=$I68,AL$7+6&gt;=$I68),"◆",""),IF(AND($C68="Task",$M68&lt;&gt;"",AL$7&lt;=IF($N68="",$D$4,$N68),AL$7+6&gt;=$M68),"●",""))</f>
        <v/>
      </c>
      <c r="AM68" s="25" t="str">
        <f aca="false">IF($C68="Milestone",IF(AND(AM$7&lt;=$I68,AM$7+6&gt;=$I68),"◆",""),IF(AND($C68="Task",$M68&lt;&gt;"",AM$7&lt;=IF($N68="",$D$4,$N68),AM$7+6&gt;=$M68),"●",""))</f>
        <v/>
      </c>
      <c r="AN68" s="25" t="str">
        <f aca="false">IF($C68="Milestone",IF(AND(AN$7&lt;=$I68,AN$7+6&gt;=$I68),"◆",""),IF(AND($C68="Task",$M68&lt;&gt;"",AN$7&lt;=IF($N68="",$D$4,$N68),AN$7+6&gt;=$M68),"●",""))</f>
        <v/>
      </c>
      <c r="AO68" s="25" t="str">
        <f aca="false">IF($C68="Milestone",IF(AND(AO$7&lt;=$I68,AO$7+6&gt;=$I68),"◆",""),IF(AND($C68="Task",$M68&lt;&gt;"",AO$7&lt;=IF($N68="",$D$4,$N68),AO$7+6&gt;=$M68),"●",""))</f>
        <v/>
      </c>
      <c r="AP68" s="25" t="str">
        <f aca="false">IF($C68="Milestone",IF(AND(AP$7&lt;=$I68,AP$7+6&gt;=$I68),"◆",""),IF(AND($C68="Task",$M68&lt;&gt;"",AP$7&lt;=IF($N68="",$D$4,$N68),AP$7+6&gt;=$M68),"●",""))</f>
        <v/>
      </c>
      <c r="AQ68" s="25" t="str">
        <f aca="false">IF($C68="Milestone",IF(AND(AQ$7&lt;=$I68,AQ$7+6&gt;=$I68),"◆",""),IF(AND($C68="Task",$M68&lt;&gt;"",AQ$7&lt;=IF($N68="",$D$4,$N68),AQ$7+6&gt;=$M68),"●",""))</f>
        <v/>
      </c>
      <c r="AR68" s="25" t="str">
        <f aca="false">IF($C68="Milestone",IF(AND(AR$7&lt;=$I68,AR$7+6&gt;=$I68),"◆",""),IF(AND($C68="Task",$M68&lt;&gt;"",AR$7&lt;=IF($N68="",$D$4,$N68),AR$7+6&gt;=$M68),"●",""))</f>
        <v/>
      </c>
      <c r="AS68" s="25" t="str">
        <f aca="false">IF($C68="Milestone",IF(AND(AS$7&lt;=$I68,AS$7+6&gt;=$I68),"◆",""),IF(AND($C68="Task",$M68&lt;&gt;"",AS$7&lt;=IF($N68="",$D$4,$N68),AS$7+6&gt;=$M68),"●",""))</f>
        <v/>
      </c>
      <c r="AT68" s="25" t="str">
        <f aca="false">IF($C68="Milestone",IF(AND(AT$7&lt;=$I68,AT$7+6&gt;=$I68),"◆",""),IF(AND($C68="Task",$M68&lt;&gt;"",AT$7&lt;=IF($N68="",$D$4,$N68),AT$7+6&gt;=$M68),"●",""))</f>
        <v/>
      </c>
      <c r="AU68" s="25" t="str">
        <f aca="false">IF($C68="Milestone",IF(AND(AU$7&lt;=$I68,AU$7+6&gt;=$I68),"◆",""),IF(AND($C68="Task",$M68&lt;&gt;"",AU$7&lt;=IF($N68="",$D$4,$N68),AU$7+6&gt;=$M68),"●",""))</f>
        <v/>
      </c>
      <c r="AV68" s="25" t="str">
        <f aca="false">IF($C68="Milestone",IF(AND(AV$7&lt;=$I68,AV$7+6&gt;=$I68),"◆",""),IF(AND($C68="Task",$M68&lt;&gt;"",AV$7&lt;=IF($N68="",$D$4,$N68),AV$7+6&gt;=$M68),"●",""))</f>
        <v/>
      </c>
      <c r="AW68" s="25" t="str">
        <f aca="false">IF($C68="Milestone",IF(AND(AW$7&lt;=$I68,AW$7+6&gt;=$I68),"◆",""),IF(AND($C68="Task",$M68&lt;&gt;"",AW$7&lt;=IF($N68="",$D$4,$N68),AW$7+6&gt;=$M68),"●",""))</f>
        <v/>
      </c>
      <c r="AX68" s="25" t="str">
        <f aca="false">IF($C68="Milestone",IF(AND(AX$7&lt;=$I68,AX$7+6&gt;=$I68),"◆",""),IF(AND($C68="Task",$M68&lt;&gt;"",AX$7&lt;=IF($N68="",$D$4,$N68),AX$7+6&gt;=$M68),"●",""))</f>
        <v/>
      </c>
      <c r="AY68" s="25" t="str">
        <f aca="false">IF($C68="Milestone",IF(AND(AY$7&lt;=$I68,AY$7+6&gt;=$I68),"◆",""),IF(AND($C68="Task",$M68&lt;&gt;"",AY$7&lt;=IF($N68="",$D$4,$N68),AY$7+6&gt;=$M68),"●",""))</f>
        <v/>
      </c>
      <c r="AZ68" s="25" t="str">
        <f aca="false">IF($C68="Milestone",IF(AND(AZ$7&lt;=$I68,AZ$7+6&gt;=$I68),"◆",""),IF(AND($C68="Task",$M68&lt;&gt;"",AZ$7&lt;=IF($N68="",$D$4,$N68),AZ$7+6&gt;=$M68),"●",""))</f>
        <v/>
      </c>
    </row>
    <row r="69" customFormat="false" ht="15" hidden="false" customHeight="false" outlineLevel="0" collapsed="false">
      <c r="A69" s="15"/>
      <c r="B69" s="16" t="s">
        <v>171</v>
      </c>
      <c r="C69" s="17" t="s">
        <v>40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</row>
    <row r="70" customFormat="false" ht="18" hidden="false" customHeight="true" outlineLevel="0" collapsed="false">
      <c r="A70" s="18" t="s">
        <v>172</v>
      </c>
      <c r="B70" s="19" t="s">
        <v>173</v>
      </c>
      <c r="C70" s="18" t="s">
        <v>20</v>
      </c>
      <c r="D70" s="18"/>
      <c r="E70" s="18"/>
      <c r="F70" s="18" t="s">
        <v>50</v>
      </c>
      <c r="G70" s="20" t="n">
        <v>46328</v>
      </c>
      <c r="H70" s="20" t="n">
        <v>46374</v>
      </c>
      <c r="I70" s="21" t="n">
        <v>46321</v>
      </c>
      <c r="J70" s="21" t="n">
        <v>46353</v>
      </c>
      <c r="K70" s="18" t="n">
        <f aca="false">IF(C70="Task",ROUND((J70-I70+3)/7,0),"")</f>
        <v>5</v>
      </c>
      <c r="L70" s="18" t="n">
        <v>2</v>
      </c>
      <c r="M70" s="21"/>
      <c r="N70" s="21"/>
      <c r="O70" s="22"/>
      <c r="P70" s="18" t="str">
        <f aca="false">IF(C70="Break","",IF(C70="Milestone",IF(N70&lt;&gt;"","Done",IF($D$4&gt;J70,"Overdue","Upcoming")),IF(N(O70)&gt;=1,"Done",IF($D$4&lt;I70,"Not started",IF($D$4&gt;J70,"Late",IF(N(O70)+0.1&lt;($D$4-I70+1)/(J70-I70+1),"Behind","On track"))))))</f>
        <v>Not started</v>
      </c>
      <c r="Q70" s="23" t="n">
        <f aca="false">IF(C70="Break","",ROUND((IF(N70&lt;&gt;"",N70,J70)-H70)/7,1))</f>
        <v>-3</v>
      </c>
      <c r="R70" s="18" t="str">
        <f aca="false">IF(C70="Milestone",IF(N70&lt;&gt;"","✓",""),IF(AND(C70="Task",N(O70)&gt;=1),"✓",""))</f>
        <v/>
      </c>
      <c r="S70" s="18" t="n">
        <f aca="false">IF(C70="Task",K70*N(O70),"")</f>
        <v>0</v>
      </c>
      <c r="T70" s="24"/>
      <c r="U70" s="25" t="str">
        <f aca="false">IF($C70="Milestone",IF(AND(U$7&lt;=$I70,U$7+6&gt;=$I70),"◆",""),IF(AND($C70="Task",$M70&lt;&gt;"",U$7&lt;=IF($N70="",$D$4,$N70),U$7+6&gt;=$M70),"●",""))</f>
        <v/>
      </c>
      <c r="V70" s="25" t="str">
        <f aca="false">IF($C70="Milestone",IF(AND(V$7&lt;=$I70,V$7+6&gt;=$I70),"◆",""),IF(AND($C70="Task",$M70&lt;&gt;"",V$7&lt;=IF($N70="",$D$4,$N70),V$7+6&gt;=$M70),"●",""))</f>
        <v/>
      </c>
      <c r="W70" s="25" t="str">
        <f aca="false">IF($C70="Milestone",IF(AND(W$7&lt;=$I70,W$7+6&gt;=$I70),"◆",""),IF(AND($C70="Task",$M70&lt;&gt;"",W$7&lt;=IF($N70="",$D$4,$N70),W$7+6&gt;=$M70),"●",""))</f>
        <v/>
      </c>
      <c r="X70" s="25" t="str">
        <f aca="false">IF($C70="Milestone",IF(AND(X$7&lt;=$I70,X$7+6&gt;=$I70),"◆",""),IF(AND($C70="Task",$M70&lt;&gt;"",X$7&lt;=IF($N70="",$D$4,$N70),X$7+6&gt;=$M70),"●",""))</f>
        <v/>
      </c>
      <c r="Y70" s="25" t="str">
        <f aca="false">IF($C70="Milestone",IF(AND(Y$7&lt;=$I70,Y$7+6&gt;=$I70),"◆",""),IF(AND($C70="Task",$M70&lt;&gt;"",Y$7&lt;=IF($N70="",$D$4,$N70),Y$7+6&gt;=$M70),"●",""))</f>
        <v/>
      </c>
      <c r="Z70" s="25" t="str">
        <f aca="false">IF($C70="Milestone",IF(AND(Z$7&lt;=$I70,Z$7+6&gt;=$I70),"◆",""),IF(AND($C70="Task",$M70&lt;&gt;"",Z$7&lt;=IF($N70="",$D$4,$N70),Z$7+6&gt;=$M70),"●",""))</f>
        <v/>
      </c>
      <c r="AA70" s="25" t="str">
        <f aca="false">IF($C70="Milestone",IF(AND(AA$7&lt;=$I70,AA$7+6&gt;=$I70),"◆",""),IF(AND($C70="Task",$M70&lt;&gt;"",AA$7&lt;=IF($N70="",$D$4,$N70),AA$7+6&gt;=$M70),"●",""))</f>
        <v/>
      </c>
      <c r="AB70" s="25" t="str">
        <f aca="false">IF($C70="Milestone",IF(AND(AB$7&lt;=$I70,AB$7+6&gt;=$I70),"◆",""),IF(AND($C70="Task",$M70&lt;&gt;"",AB$7&lt;=IF($N70="",$D$4,$N70),AB$7+6&gt;=$M70),"●",""))</f>
        <v/>
      </c>
      <c r="AC70" s="25" t="str">
        <f aca="false">IF($C70="Milestone",IF(AND(AC$7&lt;=$I70,AC$7+6&gt;=$I70),"◆",""),IF(AND($C70="Task",$M70&lt;&gt;"",AC$7&lt;=IF($N70="",$D$4,$N70),AC$7+6&gt;=$M70),"●",""))</f>
        <v/>
      </c>
      <c r="AD70" s="25" t="str">
        <f aca="false">IF($C70="Milestone",IF(AND(AD$7&lt;=$I70,AD$7+6&gt;=$I70),"◆",""),IF(AND($C70="Task",$M70&lt;&gt;"",AD$7&lt;=IF($N70="",$D$4,$N70),AD$7+6&gt;=$M70),"●",""))</f>
        <v/>
      </c>
      <c r="AE70" s="25" t="str">
        <f aca="false">IF($C70="Milestone",IF(AND(AE$7&lt;=$I70,AE$7+6&gt;=$I70),"◆",""),IF(AND($C70="Task",$M70&lt;&gt;"",AE$7&lt;=IF($N70="",$D$4,$N70),AE$7+6&gt;=$M70),"●",""))</f>
        <v/>
      </c>
      <c r="AF70" s="25" t="str">
        <f aca="false">IF($C70="Milestone",IF(AND(AF$7&lt;=$I70,AF$7+6&gt;=$I70),"◆",""),IF(AND($C70="Task",$M70&lt;&gt;"",AF$7&lt;=IF($N70="",$D$4,$N70),AF$7+6&gt;=$M70),"●",""))</f>
        <v/>
      </c>
      <c r="AG70" s="25" t="str">
        <f aca="false">IF($C70="Milestone",IF(AND(AG$7&lt;=$I70,AG$7+6&gt;=$I70),"◆",""),IF(AND($C70="Task",$M70&lt;&gt;"",AG$7&lt;=IF($N70="",$D$4,$N70),AG$7+6&gt;=$M70),"●",""))</f>
        <v/>
      </c>
      <c r="AH70" s="25" t="str">
        <f aca="false">IF($C70="Milestone",IF(AND(AH$7&lt;=$I70,AH$7+6&gt;=$I70),"◆",""),IF(AND($C70="Task",$M70&lt;&gt;"",AH$7&lt;=IF($N70="",$D$4,$N70),AH$7+6&gt;=$M70),"●",""))</f>
        <v/>
      </c>
      <c r="AI70" s="25" t="str">
        <f aca="false">IF($C70="Milestone",IF(AND(AI$7&lt;=$I70,AI$7+6&gt;=$I70),"◆",""),IF(AND($C70="Task",$M70&lt;&gt;"",AI$7&lt;=IF($N70="",$D$4,$N70),AI$7+6&gt;=$M70),"●",""))</f>
        <v/>
      </c>
      <c r="AJ70" s="25" t="str">
        <f aca="false">IF($C70="Milestone",IF(AND(AJ$7&lt;=$I70,AJ$7+6&gt;=$I70),"◆",""),IF(AND($C70="Task",$M70&lt;&gt;"",AJ$7&lt;=IF($N70="",$D$4,$N70),AJ$7+6&gt;=$M70),"●",""))</f>
        <v/>
      </c>
      <c r="AK70" s="25" t="str">
        <f aca="false">IF($C70="Milestone",IF(AND(AK$7&lt;=$I70,AK$7+6&gt;=$I70),"◆",""),IF(AND($C70="Task",$M70&lt;&gt;"",AK$7&lt;=IF($N70="",$D$4,$N70),AK$7+6&gt;=$M70),"●",""))</f>
        <v/>
      </c>
      <c r="AL70" s="25" t="str">
        <f aca="false">IF($C70="Milestone",IF(AND(AL$7&lt;=$I70,AL$7+6&gt;=$I70),"◆",""),IF(AND($C70="Task",$M70&lt;&gt;"",AL$7&lt;=IF($N70="",$D$4,$N70),AL$7+6&gt;=$M70),"●",""))</f>
        <v/>
      </c>
      <c r="AM70" s="25" t="str">
        <f aca="false">IF($C70="Milestone",IF(AND(AM$7&lt;=$I70,AM$7+6&gt;=$I70),"◆",""),IF(AND($C70="Task",$M70&lt;&gt;"",AM$7&lt;=IF($N70="",$D$4,$N70),AM$7+6&gt;=$M70),"●",""))</f>
        <v/>
      </c>
      <c r="AN70" s="25" t="str">
        <f aca="false">IF($C70="Milestone",IF(AND(AN$7&lt;=$I70,AN$7+6&gt;=$I70),"◆",""),IF(AND($C70="Task",$M70&lt;&gt;"",AN$7&lt;=IF($N70="",$D$4,$N70),AN$7+6&gt;=$M70),"●",""))</f>
        <v/>
      </c>
      <c r="AO70" s="25" t="str">
        <f aca="false">IF($C70="Milestone",IF(AND(AO$7&lt;=$I70,AO$7+6&gt;=$I70),"◆",""),IF(AND($C70="Task",$M70&lt;&gt;"",AO$7&lt;=IF($N70="",$D$4,$N70),AO$7+6&gt;=$M70),"●",""))</f>
        <v/>
      </c>
      <c r="AP70" s="25" t="str">
        <f aca="false">IF($C70="Milestone",IF(AND(AP$7&lt;=$I70,AP$7+6&gt;=$I70),"◆",""),IF(AND($C70="Task",$M70&lt;&gt;"",AP$7&lt;=IF($N70="",$D$4,$N70),AP$7+6&gt;=$M70),"●",""))</f>
        <v/>
      </c>
      <c r="AQ70" s="25" t="str">
        <f aca="false">IF($C70="Milestone",IF(AND(AQ$7&lt;=$I70,AQ$7+6&gt;=$I70),"◆",""),IF(AND($C70="Task",$M70&lt;&gt;"",AQ$7&lt;=IF($N70="",$D$4,$N70),AQ$7+6&gt;=$M70),"●",""))</f>
        <v/>
      </c>
      <c r="AR70" s="25" t="str">
        <f aca="false">IF($C70="Milestone",IF(AND(AR$7&lt;=$I70,AR$7+6&gt;=$I70),"◆",""),IF(AND($C70="Task",$M70&lt;&gt;"",AR$7&lt;=IF($N70="",$D$4,$N70),AR$7+6&gt;=$M70),"●",""))</f>
        <v/>
      </c>
      <c r="AS70" s="25" t="str">
        <f aca="false">IF($C70="Milestone",IF(AND(AS$7&lt;=$I70,AS$7+6&gt;=$I70),"◆",""),IF(AND($C70="Task",$M70&lt;&gt;"",AS$7&lt;=IF($N70="",$D$4,$N70),AS$7+6&gt;=$M70),"●",""))</f>
        <v/>
      </c>
      <c r="AT70" s="25" t="str">
        <f aca="false">IF($C70="Milestone",IF(AND(AT$7&lt;=$I70,AT$7+6&gt;=$I70),"◆",""),IF(AND($C70="Task",$M70&lt;&gt;"",AT$7&lt;=IF($N70="",$D$4,$N70),AT$7+6&gt;=$M70),"●",""))</f>
        <v/>
      </c>
      <c r="AU70" s="25" t="str">
        <f aca="false">IF($C70="Milestone",IF(AND(AU$7&lt;=$I70,AU$7+6&gt;=$I70),"◆",""),IF(AND($C70="Task",$M70&lt;&gt;"",AU$7&lt;=IF($N70="",$D$4,$N70),AU$7+6&gt;=$M70),"●",""))</f>
        <v/>
      </c>
      <c r="AV70" s="25" t="str">
        <f aca="false">IF($C70="Milestone",IF(AND(AV$7&lt;=$I70,AV$7+6&gt;=$I70),"◆",""),IF(AND($C70="Task",$M70&lt;&gt;"",AV$7&lt;=IF($N70="",$D$4,$N70),AV$7+6&gt;=$M70),"●",""))</f>
        <v/>
      </c>
      <c r="AW70" s="25" t="str">
        <f aca="false">IF($C70="Milestone",IF(AND(AW$7&lt;=$I70,AW$7+6&gt;=$I70),"◆",""),IF(AND($C70="Task",$M70&lt;&gt;"",AW$7&lt;=IF($N70="",$D$4,$N70),AW$7+6&gt;=$M70),"●",""))</f>
        <v/>
      </c>
      <c r="AX70" s="25" t="str">
        <f aca="false">IF($C70="Milestone",IF(AND(AX$7&lt;=$I70,AX$7+6&gt;=$I70),"◆",""),IF(AND($C70="Task",$M70&lt;&gt;"",AX$7&lt;=IF($N70="",$D$4,$N70),AX$7+6&gt;=$M70),"●",""))</f>
        <v/>
      </c>
      <c r="AY70" s="25" t="str">
        <f aca="false">IF($C70="Milestone",IF(AND(AY$7&lt;=$I70,AY$7+6&gt;=$I70),"◆",""),IF(AND($C70="Task",$M70&lt;&gt;"",AY$7&lt;=IF($N70="",$D$4,$N70),AY$7+6&gt;=$M70),"●",""))</f>
        <v/>
      </c>
      <c r="AZ70" s="25" t="str">
        <f aca="false">IF($C70="Milestone",IF(AND(AZ$7&lt;=$I70,AZ$7+6&gt;=$I70),"◆",""),IF(AND($C70="Task",$M70&lt;&gt;"",AZ$7&lt;=IF($N70="",$D$4,$N70),AZ$7+6&gt;=$M70),"●",""))</f>
        <v/>
      </c>
    </row>
    <row r="71" customFormat="false" ht="18" hidden="false" customHeight="true" outlineLevel="0" collapsed="false">
      <c r="A71" s="18" t="s">
        <v>174</v>
      </c>
      <c r="B71" s="19" t="s">
        <v>175</v>
      </c>
      <c r="C71" s="18" t="s">
        <v>20</v>
      </c>
      <c r="D71" s="18"/>
      <c r="E71" s="18" t="s">
        <v>155</v>
      </c>
      <c r="F71" s="18" t="s">
        <v>50</v>
      </c>
      <c r="G71" s="20" t="n">
        <v>46447</v>
      </c>
      <c r="H71" s="20" t="n">
        <v>46451</v>
      </c>
      <c r="I71" s="21" t="n">
        <v>46419</v>
      </c>
      <c r="J71" s="21" t="n">
        <v>46430</v>
      </c>
      <c r="K71" s="18" t="n">
        <f aca="false">IF(C71="Task",ROUND((J71-I71+3)/7,0),"")</f>
        <v>2</v>
      </c>
      <c r="L71" s="18" t="n">
        <v>1</v>
      </c>
      <c r="M71" s="21"/>
      <c r="N71" s="21"/>
      <c r="O71" s="22"/>
      <c r="P71" s="18" t="str">
        <f aca="false">IF(C71="Break","",IF(C71="Milestone",IF(N71&lt;&gt;"","Done",IF($D$4&gt;J71,"Overdue","Upcoming")),IF(N(O71)&gt;=1,"Done",IF($D$4&lt;I71,"Not started",IF($D$4&gt;J71,"Late",IF(N(O71)+0.1&lt;($D$4-I71+1)/(J71-I71+1),"Behind","On track"))))))</f>
        <v>Not started</v>
      </c>
      <c r="Q71" s="23" t="n">
        <f aca="false">IF(C71="Break","",ROUND((IF(N71&lt;&gt;"",N71,J71)-H71)/7,1))</f>
        <v>-3</v>
      </c>
      <c r="R71" s="18" t="str">
        <f aca="false">IF(C71="Milestone",IF(N71&lt;&gt;"","✓",""),IF(AND(C71="Task",N(O71)&gt;=1),"✓",""))</f>
        <v/>
      </c>
      <c r="S71" s="18" t="n">
        <f aca="false">IF(C71="Task",K71*N(O71),"")</f>
        <v>0</v>
      </c>
      <c r="T71" s="24"/>
      <c r="U71" s="25" t="str">
        <f aca="false">IF($C71="Milestone",IF(AND(U$7&lt;=$I71,U$7+6&gt;=$I71),"◆",""),IF(AND($C71="Task",$M71&lt;&gt;"",U$7&lt;=IF($N71="",$D$4,$N71),U$7+6&gt;=$M71),"●",""))</f>
        <v/>
      </c>
      <c r="V71" s="25" t="str">
        <f aca="false">IF($C71="Milestone",IF(AND(V$7&lt;=$I71,V$7+6&gt;=$I71),"◆",""),IF(AND($C71="Task",$M71&lt;&gt;"",V$7&lt;=IF($N71="",$D$4,$N71),V$7+6&gt;=$M71),"●",""))</f>
        <v/>
      </c>
      <c r="W71" s="25" t="str">
        <f aca="false">IF($C71="Milestone",IF(AND(W$7&lt;=$I71,W$7+6&gt;=$I71),"◆",""),IF(AND($C71="Task",$M71&lt;&gt;"",W$7&lt;=IF($N71="",$D$4,$N71),W$7+6&gt;=$M71),"●",""))</f>
        <v/>
      </c>
      <c r="X71" s="25" t="str">
        <f aca="false">IF($C71="Milestone",IF(AND(X$7&lt;=$I71,X$7+6&gt;=$I71),"◆",""),IF(AND($C71="Task",$M71&lt;&gt;"",X$7&lt;=IF($N71="",$D$4,$N71),X$7+6&gt;=$M71),"●",""))</f>
        <v/>
      </c>
      <c r="Y71" s="25" t="str">
        <f aca="false">IF($C71="Milestone",IF(AND(Y$7&lt;=$I71,Y$7+6&gt;=$I71),"◆",""),IF(AND($C71="Task",$M71&lt;&gt;"",Y$7&lt;=IF($N71="",$D$4,$N71),Y$7+6&gt;=$M71),"●",""))</f>
        <v/>
      </c>
      <c r="Z71" s="25" t="str">
        <f aca="false">IF($C71="Milestone",IF(AND(Z$7&lt;=$I71,Z$7+6&gt;=$I71),"◆",""),IF(AND($C71="Task",$M71&lt;&gt;"",Z$7&lt;=IF($N71="",$D$4,$N71),Z$7+6&gt;=$M71),"●",""))</f>
        <v/>
      </c>
      <c r="AA71" s="25" t="str">
        <f aca="false">IF($C71="Milestone",IF(AND(AA$7&lt;=$I71,AA$7+6&gt;=$I71),"◆",""),IF(AND($C71="Task",$M71&lt;&gt;"",AA$7&lt;=IF($N71="",$D$4,$N71),AA$7+6&gt;=$M71),"●",""))</f>
        <v/>
      </c>
      <c r="AB71" s="25" t="str">
        <f aca="false">IF($C71="Milestone",IF(AND(AB$7&lt;=$I71,AB$7+6&gt;=$I71),"◆",""),IF(AND($C71="Task",$M71&lt;&gt;"",AB$7&lt;=IF($N71="",$D$4,$N71),AB$7+6&gt;=$M71),"●",""))</f>
        <v/>
      </c>
      <c r="AC71" s="25" t="str">
        <f aca="false">IF($C71="Milestone",IF(AND(AC$7&lt;=$I71,AC$7+6&gt;=$I71),"◆",""),IF(AND($C71="Task",$M71&lt;&gt;"",AC$7&lt;=IF($N71="",$D$4,$N71),AC$7+6&gt;=$M71),"●",""))</f>
        <v/>
      </c>
      <c r="AD71" s="25" t="str">
        <f aca="false">IF($C71="Milestone",IF(AND(AD$7&lt;=$I71,AD$7+6&gt;=$I71),"◆",""),IF(AND($C71="Task",$M71&lt;&gt;"",AD$7&lt;=IF($N71="",$D$4,$N71),AD$7+6&gt;=$M71),"●",""))</f>
        <v/>
      </c>
      <c r="AE71" s="25" t="str">
        <f aca="false">IF($C71="Milestone",IF(AND(AE$7&lt;=$I71,AE$7+6&gt;=$I71),"◆",""),IF(AND($C71="Task",$M71&lt;&gt;"",AE$7&lt;=IF($N71="",$D$4,$N71),AE$7+6&gt;=$M71),"●",""))</f>
        <v/>
      </c>
      <c r="AF71" s="25" t="str">
        <f aca="false">IF($C71="Milestone",IF(AND(AF$7&lt;=$I71,AF$7+6&gt;=$I71),"◆",""),IF(AND($C71="Task",$M71&lt;&gt;"",AF$7&lt;=IF($N71="",$D$4,$N71),AF$7+6&gt;=$M71),"●",""))</f>
        <v/>
      </c>
      <c r="AG71" s="25" t="str">
        <f aca="false">IF($C71="Milestone",IF(AND(AG$7&lt;=$I71,AG$7+6&gt;=$I71),"◆",""),IF(AND($C71="Task",$M71&lt;&gt;"",AG$7&lt;=IF($N71="",$D$4,$N71),AG$7+6&gt;=$M71),"●",""))</f>
        <v/>
      </c>
      <c r="AH71" s="25" t="str">
        <f aca="false">IF($C71="Milestone",IF(AND(AH$7&lt;=$I71,AH$7+6&gt;=$I71),"◆",""),IF(AND($C71="Task",$M71&lt;&gt;"",AH$7&lt;=IF($N71="",$D$4,$N71),AH$7+6&gt;=$M71),"●",""))</f>
        <v/>
      </c>
      <c r="AI71" s="25" t="str">
        <f aca="false">IF($C71="Milestone",IF(AND(AI$7&lt;=$I71,AI$7+6&gt;=$I71),"◆",""),IF(AND($C71="Task",$M71&lt;&gt;"",AI$7&lt;=IF($N71="",$D$4,$N71),AI$7+6&gt;=$M71),"●",""))</f>
        <v/>
      </c>
      <c r="AJ71" s="25" t="str">
        <f aca="false">IF($C71="Milestone",IF(AND(AJ$7&lt;=$I71,AJ$7+6&gt;=$I71),"◆",""),IF(AND($C71="Task",$M71&lt;&gt;"",AJ$7&lt;=IF($N71="",$D$4,$N71),AJ$7+6&gt;=$M71),"●",""))</f>
        <v/>
      </c>
      <c r="AK71" s="25" t="str">
        <f aca="false">IF($C71="Milestone",IF(AND(AK$7&lt;=$I71,AK$7+6&gt;=$I71),"◆",""),IF(AND($C71="Task",$M71&lt;&gt;"",AK$7&lt;=IF($N71="",$D$4,$N71),AK$7+6&gt;=$M71),"●",""))</f>
        <v/>
      </c>
      <c r="AL71" s="25" t="str">
        <f aca="false">IF($C71="Milestone",IF(AND(AL$7&lt;=$I71,AL$7+6&gt;=$I71),"◆",""),IF(AND($C71="Task",$M71&lt;&gt;"",AL$7&lt;=IF($N71="",$D$4,$N71),AL$7+6&gt;=$M71),"●",""))</f>
        <v/>
      </c>
      <c r="AM71" s="25" t="str">
        <f aca="false">IF($C71="Milestone",IF(AND(AM$7&lt;=$I71,AM$7+6&gt;=$I71),"◆",""),IF(AND($C71="Task",$M71&lt;&gt;"",AM$7&lt;=IF($N71="",$D$4,$N71),AM$7+6&gt;=$M71),"●",""))</f>
        <v/>
      </c>
      <c r="AN71" s="25" t="str">
        <f aca="false">IF($C71="Milestone",IF(AND(AN$7&lt;=$I71,AN$7+6&gt;=$I71),"◆",""),IF(AND($C71="Task",$M71&lt;&gt;"",AN$7&lt;=IF($N71="",$D$4,$N71),AN$7+6&gt;=$M71),"●",""))</f>
        <v/>
      </c>
      <c r="AO71" s="25" t="str">
        <f aca="false">IF($C71="Milestone",IF(AND(AO$7&lt;=$I71,AO$7+6&gt;=$I71),"◆",""),IF(AND($C71="Task",$M71&lt;&gt;"",AO$7&lt;=IF($N71="",$D$4,$N71),AO$7+6&gt;=$M71),"●",""))</f>
        <v/>
      </c>
      <c r="AP71" s="25" t="str">
        <f aca="false">IF($C71="Milestone",IF(AND(AP$7&lt;=$I71,AP$7+6&gt;=$I71),"◆",""),IF(AND($C71="Task",$M71&lt;&gt;"",AP$7&lt;=IF($N71="",$D$4,$N71),AP$7+6&gt;=$M71),"●",""))</f>
        <v/>
      </c>
      <c r="AQ71" s="25" t="str">
        <f aca="false">IF($C71="Milestone",IF(AND(AQ$7&lt;=$I71,AQ$7+6&gt;=$I71),"◆",""),IF(AND($C71="Task",$M71&lt;&gt;"",AQ$7&lt;=IF($N71="",$D$4,$N71),AQ$7+6&gt;=$M71),"●",""))</f>
        <v/>
      </c>
      <c r="AR71" s="25" t="str">
        <f aca="false">IF($C71="Milestone",IF(AND(AR$7&lt;=$I71,AR$7+6&gt;=$I71),"◆",""),IF(AND($C71="Task",$M71&lt;&gt;"",AR$7&lt;=IF($N71="",$D$4,$N71),AR$7+6&gt;=$M71),"●",""))</f>
        <v/>
      </c>
      <c r="AS71" s="25" t="str">
        <f aca="false">IF($C71="Milestone",IF(AND(AS$7&lt;=$I71,AS$7+6&gt;=$I71),"◆",""),IF(AND($C71="Task",$M71&lt;&gt;"",AS$7&lt;=IF($N71="",$D$4,$N71),AS$7+6&gt;=$M71),"●",""))</f>
        <v/>
      </c>
      <c r="AT71" s="25" t="str">
        <f aca="false">IF($C71="Milestone",IF(AND(AT$7&lt;=$I71,AT$7+6&gt;=$I71),"◆",""),IF(AND($C71="Task",$M71&lt;&gt;"",AT$7&lt;=IF($N71="",$D$4,$N71),AT$7+6&gt;=$M71),"●",""))</f>
        <v/>
      </c>
      <c r="AU71" s="25" t="str">
        <f aca="false">IF($C71="Milestone",IF(AND(AU$7&lt;=$I71,AU$7+6&gt;=$I71),"◆",""),IF(AND($C71="Task",$M71&lt;&gt;"",AU$7&lt;=IF($N71="",$D$4,$N71),AU$7+6&gt;=$M71),"●",""))</f>
        <v/>
      </c>
      <c r="AV71" s="25" t="str">
        <f aca="false">IF($C71="Milestone",IF(AND(AV$7&lt;=$I71,AV$7+6&gt;=$I71),"◆",""),IF(AND($C71="Task",$M71&lt;&gt;"",AV$7&lt;=IF($N71="",$D$4,$N71),AV$7+6&gt;=$M71),"●",""))</f>
        <v/>
      </c>
      <c r="AW71" s="25" t="str">
        <f aca="false">IF($C71="Milestone",IF(AND(AW$7&lt;=$I71,AW$7+6&gt;=$I71),"◆",""),IF(AND($C71="Task",$M71&lt;&gt;"",AW$7&lt;=IF($N71="",$D$4,$N71),AW$7+6&gt;=$M71),"●",""))</f>
        <v/>
      </c>
      <c r="AX71" s="25" t="str">
        <f aca="false">IF($C71="Milestone",IF(AND(AX$7&lt;=$I71,AX$7+6&gt;=$I71),"◆",""),IF(AND($C71="Task",$M71&lt;&gt;"",AX$7&lt;=IF($N71="",$D$4,$N71),AX$7+6&gt;=$M71),"●",""))</f>
        <v/>
      </c>
      <c r="AY71" s="25" t="str">
        <f aca="false">IF($C71="Milestone",IF(AND(AY$7&lt;=$I71,AY$7+6&gt;=$I71),"◆",""),IF(AND($C71="Task",$M71&lt;&gt;"",AY$7&lt;=IF($N71="",$D$4,$N71),AY$7+6&gt;=$M71),"●",""))</f>
        <v/>
      </c>
      <c r="AZ71" s="25" t="str">
        <f aca="false">IF($C71="Milestone",IF(AND(AZ$7&lt;=$I71,AZ$7+6&gt;=$I71),"◆",""),IF(AND($C71="Task",$M71&lt;&gt;"",AZ$7&lt;=IF($N71="",$D$4,$N71),AZ$7+6&gt;=$M71),"●",""))</f>
        <v/>
      </c>
    </row>
    <row r="72" customFormat="false" ht="18" hidden="false" customHeight="true" outlineLevel="0" collapsed="false">
      <c r="A72" s="18" t="s">
        <v>176</v>
      </c>
      <c r="B72" s="19" t="s">
        <v>177</v>
      </c>
      <c r="C72" s="18" t="s">
        <v>20</v>
      </c>
      <c r="D72" s="18"/>
      <c r="E72" s="18" t="s">
        <v>160</v>
      </c>
      <c r="F72" s="18" t="s">
        <v>50</v>
      </c>
      <c r="G72" s="20" t="n">
        <v>46461</v>
      </c>
      <c r="H72" s="20" t="n">
        <v>46465</v>
      </c>
      <c r="I72" s="21" t="n">
        <v>46433</v>
      </c>
      <c r="J72" s="21" t="n">
        <v>46437</v>
      </c>
      <c r="K72" s="18" t="n">
        <f aca="false">IF(C72="Task",ROUND((J72-I72+3)/7,0),"")</f>
        <v>1</v>
      </c>
      <c r="L72" s="18" t="n">
        <v>1</v>
      </c>
      <c r="M72" s="21"/>
      <c r="N72" s="21"/>
      <c r="O72" s="22"/>
      <c r="P72" s="18" t="str">
        <f aca="false">IF(C72="Break","",IF(C72="Milestone",IF(N72&lt;&gt;"","Done",IF($D$4&gt;J72,"Overdue","Upcoming")),IF(N(O72)&gt;=1,"Done",IF($D$4&lt;I72,"Not started",IF($D$4&gt;J72,"Late",IF(N(O72)+0.1&lt;($D$4-I72+1)/(J72-I72+1),"Behind","On track"))))))</f>
        <v>Not started</v>
      </c>
      <c r="Q72" s="23" t="n">
        <f aca="false">IF(C72="Break","",ROUND((IF(N72&lt;&gt;"",N72,J72)-H72)/7,1))</f>
        <v>-4</v>
      </c>
      <c r="R72" s="18" t="str">
        <f aca="false">IF(C72="Milestone",IF(N72&lt;&gt;"","✓",""),IF(AND(C72="Task",N(O72)&gt;=1),"✓",""))</f>
        <v/>
      </c>
      <c r="S72" s="18" t="n">
        <f aca="false">IF(C72="Task",K72*N(O72),"")</f>
        <v>0</v>
      </c>
      <c r="T72" s="24"/>
      <c r="U72" s="25" t="str">
        <f aca="false">IF($C72="Milestone",IF(AND(U$7&lt;=$I72,U$7+6&gt;=$I72),"◆",""),IF(AND($C72="Task",$M72&lt;&gt;"",U$7&lt;=IF($N72="",$D$4,$N72),U$7+6&gt;=$M72),"●",""))</f>
        <v/>
      </c>
      <c r="V72" s="25" t="str">
        <f aca="false">IF($C72="Milestone",IF(AND(V$7&lt;=$I72,V$7+6&gt;=$I72),"◆",""),IF(AND($C72="Task",$M72&lt;&gt;"",V$7&lt;=IF($N72="",$D$4,$N72),V$7+6&gt;=$M72),"●",""))</f>
        <v/>
      </c>
      <c r="W72" s="25" t="str">
        <f aca="false">IF($C72="Milestone",IF(AND(W$7&lt;=$I72,W$7+6&gt;=$I72),"◆",""),IF(AND($C72="Task",$M72&lt;&gt;"",W$7&lt;=IF($N72="",$D$4,$N72),W$7+6&gt;=$M72),"●",""))</f>
        <v/>
      </c>
      <c r="X72" s="25" t="str">
        <f aca="false">IF($C72="Milestone",IF(AND(X$7&lt;=$I72,X$7+6&gt;=$I72),"◆",""),IF(AND($C72="Task",$M72&lt;&gt;"",X$7&lt;=IF($N72="",$D$4,$N72),X$7+6&gt;=$M72),"●",""))</f>
        <v/>
      </c>
      <c r="Y72" s="25" t="str">
        <f aca="false">IF($C72="Milestone",IF(AND(Y$7&lt;=$I72,Y$7+6&gt;=$I72),"◆",""),IF(AND($C72="Task",$M72&lt;&gt;"",Y$7&lt;=IF($N72="",$D$4,$N72),Y$7+6&gt;=$M72),"●",""))</f>
        <v/>
      </c>
      <c r="Z72" s="25" t="str">
        <f aca="false">IF($C72="Milestone",IF(AND(Z$7&lt;=$I72,Z$7+6&gt;=$I72),"◆",""),IF(AND($C72="Task",$M72&lt;&gt;"",Z$7&lt;=IF($N72="",$D$4,$N72),Z$7+6&gt;=$M72),"●",""))</f>
        <v/>
      </c>
      <c r="AA72" s="25" t="str">
        <f aca="false">IF($C72="Milestone",IF(AND(AA$7&lt;=$I72,AA$7+6&gt;=$I72),"◆",""),IF(AND($C72="Task",$M72&lt;&gt;"",AA$7&lt;=IF($N72="",$D$4,$N72),AA$7+6&gt;=$M72),"●",""))</f>
        <v/>
      </c>
      <c r="AB72" s="25" t="str">
        <f aca="false">IF($C72="Milestone",IF(AND(AB$7&lt;=$I72,AB$7+6&gt;=$I72),"◆",""),IF(AND($C72="Task",$M72&lt;&gt;"",AB$7&lt;=IF($N72="",$D$4,$N72),AB$7+6&gt;=$M72),"●",""))</f>
        <v/>
      </c>
      <c r="AC72" s="25" t="str">
        <f aca="false">IF($C72="Milestone",IF(AND(AC$7&lt;=$I72,AC$7+6&gt;=$I72),"◆",""),IF(AND($C72="Task",$M72&lt;&gt;"",AC$7&lt;=IF($N72="",$D$4,$N72),AC$7+6&gt;=$M72),"●",""))</f>
        <v/>
      </c>
      <c r="AD72" s="25" t="str">
        <f aca="false">IF($C72="Milestone",IF(AND(AD$7&lt;=$I72,AD$7+6&gt;=$I72),"◆",""),IF(AND($C72="Task",$M72&lt;&gt;"",AD$7&lt;=IF($N72="",$D$4,$N72),AD$7+6&gt;=$M72),"●",""))</f>
        <v/>
      </c>
      <c r="AE72" s="25" t="str">
        <f aca="false">IF($C72="Milestone",IF(AND(AE$7&lt;=$I72,AE$7+6&gt;=$I72),"◆",""),IF(AND($C72="Task",$M72&lt;&gt;"",AE$7&lt;=IF($N72="",$D$4,$N72),AE$7+6&gt;=$M72),"●",""))</f>
        <v/>
      </c>
      <c r="AF72" s="25" t="str">
        <f aca="false">IF($C72="Milestone",IF(AND(AF$7&lt;=$I72,AF$7+6&gt;=$I72),"◆",""),IF(AND($C72="Task",$M72&lt;&gt;"",AF$7&lt;=IF($N72="",$D$4,$N72),AF$7+6&gt;=$M72),"●",""))</f>
        <v/>
      </c>
      <c r="AG72" s="25" t="str">
        <f aca="false">IF($C72="Milestone",IF(AND(AG$7&lt;=$I72,AG$7+6&gt;=$I72),"◆",""),IF(AND($C72="Task",$M72&lt;&gt;"",AG$7&lt;=IF($N72="",$D$4,$N72),AG$7+6&gt;=$M72),"●",""))</f>
        <v/>
      </c>
      <c r="AH72" s="25" t="str">
        <f aca="false">IF($C72="Milestone",IF(AND(AH$7&lt;=$I72,AH$7+6&gt;=$I72),"◆",""),IF(AND($C72="Task",$M72&lt;&gt;"",AH$7&lt;=IF($N72="",$D$4,$N72),AH$7+6&gt;=$M72),"●",""))</f>
        <v/>
      </c>
      <c r="AI72" s="25" t="str">
        <f aca="false">IF($C72="Milestone",IF(AND(AI$7&lt;=$I72,AI$7+6&gt;=$I72),"◆",""),IF(AND($C72="Task",$M72&lt;&gt;"",AI$7&lt;=IF($N72="",$D$4,$N72),AI$7+6&gt;=$M72),"●",""))</f>
        <v/>
      </c>
      <c r="AJ72" s="25" t="str">
        <f aca="false">IF($C72="Milestone",IF(AND(AJ$7&lt;=$I72,AJ$7+6&gt;=$I72),"◆",""),IF(AND($C72="Task",$M72&lt;&gt;"",AJ$7&lt;=IF($N72="",$D$4,$N72),AJ$7+6&gt;=$M72),"●",""))</f>
        <v/>
      </c>
      <c r="AK72" s="25" t="str">
        <f aca="false">IF($C72="Milestone",IF(AND(AK$7&lt;=$I72,AK$7+6&gt;=$I72),"◆",""),IF(AND($C72="Task",$M72&lt;&gt;"",AK$7&lt;=IF($N72="",$D$4,$N72),AK$7+6&gt;=$M72),"●",""))</f>
        <v/>
      </c>
      <c r="AL72" s="25" t="str">
        <f aca="false">IF($C72="Milestone",IF(AND(AL$7&lt;=$I72,AL$7+6&gt;=$I72),"◆",""),IF(AND($C72="Task",$M72&lt;&gt;"",AL$7&lt;=IF($N72="",$D$4,$N72),AL$7+6&gt;=$M72),"●",""))</f>
        <v/>
      </c>
      <c r="AM72" s="25" t="str">
        <f aca="false">IF($C72="Milestone",IF(AND(AM$7&lt;=$I72,AM$7+6&gt;=$I72),"◆",""),IF(AND($C72="Task",$M72&lt;&gt;"",AM$7&lt;=IF($N72="",$D$4,$N72),AM$7+6&gt;=$M72),"●",""))</f>
        <v/>
      </c>
      <c r="AN72" s="25" t="str">
        <f aca="false">IF($C72="Milestone",IF(AND(AN$7&lt;=$I72,AN$7+6&gt;=$I72),"◆",""),IF(AND($C72="Task",$M72&lt;&gt;"",AN$7&lt;=IF($N72="",$D$4,$N72),AN$7+6&gt;=$M72),"●",""))</f>
        <v/>
      </c>
      <c r="AO72" s="25" t="str">
        <f aca="false">IF($C72="Milestone",IF(AND(AO$7&lt;=$I72,AO$7+6&gt;=$I72),"◆",""),IF(AND($C72="Task",$M72&lt;&gt;"",AO$7&lt;=IF($N72="",$D$4,$N72),AO$7+6&gt;=$M72),"●",""))</f>
        <v/>
      </c>
      <c r="AP72" s="25" t="str">
        <f aca="false">IF($C72="Milestone",IF(AND(AP$7&lt;=$I72,AP$7+6&gt;=$I72),"◆",""),IF(AND($C72="Task",$M72&lt;&gt;"",AP$7&lt;=IF($N72="",$D$4,$N72),AP$7+6&gt;=$M72),"●",""))</f>
        <v/>
      </c>
      <c r="AQ72" s="25" t="str">
        <f aca="false">IF($C72="Milestone",IF(AND(AQ$7&lt;=$I72,AQ$7+6&gt;=$I72),"◆",""),IF(AND($C72="Task",$M72&lt;&gt;"",AQ$7&lt;=IF($N72="",$D$4,$N72),AQ$7+6&gt;=$M72),"●",""))</f>
        <v/>
      </c>
      <c r="AR72" s="25" t="str">
        <f aca="false">IF($C72="Milestone",IF(AND(AR$7&lt;=$I72,AR$7+6&gt;=$I72),"◆",""),IF(AND($C72="Task",$M72&lt;&gt;"",AR$7&lt;=IF($N72="",$D$4,$N72),AR$7+6&gt;=$M72),"●",""))</f>
        <v/>
      </c>
      <c r="AS72" s="25" t="str">
        <f aca="false">IF($C72="Milestone",IF(AND(AS$7&lt;=$I72,AS$7+6&gt;=$I72),"◆",""),IF(AND($C72="Task",$M72&lt;&gt;"",AS$7&lt;=IF($N72="",$D$4,$N72),AS$7+6&gt;=$M72),"●",""))</f>
        <v/>
      </c>
      <c r="AT72" s="25" t="str">
        <f aca="false">IF($C72="Milestone",IF(AND(AT$7&lt;=$I72,AT$7+6&gt;=$I72),"◆",""),IF(AND($C72="Task",$M72&lt;&gt;"",AT$7&lt;=IF($N72="",$D$4,$N72),AT$7+6&gt;=$M72),"●",""))</f>
        <v/>
      </c>
      <c r="AU72" s="25" t="str">
        <f aca="false">IF($C72="Milestone",IF(AND(AU$7&lt;=$I72,AU$7+6&gt;=$I72),"◆",""),IF(AND($C72="Task",$M72&lt;&gt;"",AU$7&lt;=IF($N72="",$D$4,$N72),AU$7+6&gt;=$M72),"●",""))</f>
        <v/>
      </c>
      <c r="AV72" s="25" t="str">
        <f aca="false">IF($C72="Milestone",IF(AND(AV$7&lt;=$I72,AV$7+6&gt;=$I72),"◆",""),IF(AND($C72="Task",$M72&lt;&gt;"",AV$7&lt;=IF($N72="",$D$4,$N72),AV$7+6&gt;=$M72),"●",""))</f>
        <v/>
      </c>
      <c r="AW72" s="25" t="str">
        <f aca="false">IF($C72="Milestone",IF(AND(AW$7&lt;=$I72,AW$7+6&gt;=$I72),"◆",""),IF(AND($C72="Task",$M72&lt;&gt;"",AW$7&lt;=IF($N72="",$D$4,$N72),AW$7+6&gt;=$M72),"●",""))</f>
        <v/>
      </c>
      <c r="AX72" s="25" t="str">
        <f aca="false">IF($C72="Milestone",IF(AND(AX$7&lt;=$I72,AX$7+6&gt;=$I72),"◆",""),IF(AND($C72="Task",$M72&lt;&gt;"",AX$7&lt;=IF($N72="",$D$4,$N72),AX$7+6&gt;=$M72),"●",""))</f>
        <v/>
      </c>
      <c r="AY72" s="25" t="str">
        <f aca="false">IF($C72="Milestone",IF(AND(AY$7&lt;=$I72,AY$7+6&gt;=$I72),"◆",""),IF(AND($C72="Task",$M72&lt;&gt;"",AY$7&lt;=IF($N72="",$D$4,$N72),AY$7+6&gt;=$M72),"●",""))</f>
        <v/>
      </c>
      <c r="AZ72" s="25" t="str">
        <f aca="false">IF($C72="Milestone",IF(AND(AZ$7&lt;=$I72,AZ$7+6&gt;=$I72),"◆",""),IF(AND($C72="Task",$M72&lt;&gt;"",AZ$7&lt;=IF($N72="",$D$4,$N72),AZ$7+6&gt;=$M72),"●",""))</f>
        <v/>
      </c>
    </row>
    <row r="73" customFormat="false" ht="18" hidden="false" customHeight="true" outlineLevel="0" collapsed="false">
      <c r="A73" s="18" t="s">
        <v>178</v>
      </c>
      <c r="B73" s="19" t="s">
        <v>179</v>
      </c>
      <c r="C73" s="18" t="s">
        <v>20</v>
      </c>
      <c r="D73" s="18"/>
      <c r="E73" s="18" t="s">
        <v>164</v>
      </c>
      <c r="F73" s="18" t="s">
        <v>44</v>
      </c>
      <c r="G73" s="20" t="n">
        <v>46468</v>
      </c>
      <c r="H73" s="20" t="n">
        <v>46479</v>
      </c>
      <c r="I73" s="21" t="n">
        <v>46440</v>
      </c>
      <c r="J73" s="21" t="n">
        <v>46444</v>
      </c>
      <c r="K73" s="18" t="n">
        <f aca="false">IF(C73="Task",ROUND((J73-I73+3)/7,0),"")</f>
        <v>1</v>
      </c>
      <c r="L73" s="18" t="n">
        <v>0</v>
      </c>
      <c r="M73" s="21"/>
      <c r="N73" s="21"/>
      <c r="O73" s="22"/>
      <c r="P73" s="18" t="str">
        <f aca="false">IF(C73="Break","",IF(C73="Milestone",IF(N73&lt;&gt;"","Done",IF($D$4&gt;J73,"Overdue","Upcoming")),IF(N(O73)&gt;=1,"Done",IF($D$4&lt;I73,"Not started",IF($D$4&gt;J73,"Late",IF(N(O73)+0.1&lt;($D$4-I73+1)/(J73-I73+1),"Behind","On track"))))))</f>
        <v>Not started</v>
      </c>
      <c r="Q73" s="23" t="n">
        <f aca="false">IF(C73="Break","",ROUND((IF(N73&lt;&gt;"",N73,J73)-H73)/7,1))</f>
        <v>-5</v>
      </c>
      <c r="R73" s="18" t="str">
        <f aca="false">IF(C73="Milestone",IF(N73&lt;&gt;"","✓",""),IF(AND(C73="Task",N(O73)&gt;=1),"✓",""))</f>
        <v/>
      </c>
      <c r="S73" s="18" t="n">
        <f aca="false">IF(C73="Task",K73*N(O73),"")</f>
        <v>0</v>
      </c>
      <c r="T73" s="24"/>
      <c r="U73" s="25" t="str">
        <f aca="false">IF($C73="Milestone",IF(AND(U$7&lt;=$I73,U$7+6&gt;=$I73),"◆",""),IF(AND($C73="Task",$M73&lt;&gt;"",U$7&lt;=IF($N73="",$D$4,$N73),U$7+6&gt;=$M73),"●",""))</f>
        <v/>
      </c>
      <c r="V73" s="25" t="str">
        <f aca="false">IF($C73="Milestone",IF(AND(V$7&lt;=$I73,V$7+6&gt;=$I73),"◆",""),IF(AND($C73="Task",$M73&lt;&gt;"",V$7&lt;=IF($N73="",$D$4,$N73),V$7+6&gt;=$M73),"●",""))</f>
        <v/>
      </c>
      <c r="W73" s="25" t="str">
        <f aca="false">IF($C73="Milestone",IF(AND(W$7&lt;=$I73,W$7+6&gt;=$I73),"◆",""),IF(AND($C73="Task",$M73&lt;&gt;"",W$7&lt;=IF($N73="",$D$4,$N73),W$7+6&gt;=$M73),"●",""))</f>
        <v/>
      </c>
      <c r="X73" s="25" t="str">
        <f aca="false">IF($C73="Milestone",IF(AND(X$7&lt;=$I73,X$7+6&gt;=$I73),"◆",""),IF(AND($C73="Task",$M73&lt;&gt;"",X$7&lt;=IF($N73="",$D$4,$N73),X$7+6&gt;=$M73),"●",""))</f>
        <v/>
      </c>
      <c r="Y73" s="25" t="str">
        <f aca="false">IF($C73="Milestone",IF(AND(Y$7&lt;=$I73,Y$7+6&gt;=$I73),"◆",""),IF(AND($C73="Task",$M73&lt;&gt;"",Y$7&lt;=IF($N73="",$D$4,$N73),Y$7+6&gt;=$M73),"●",""))</f>
        <v/>
      </c>
      <c r="Z73" s="25" t="str">
        <f aca="false">IF($C73="Milestone",IF(AND(Z$7&lt;=$I73,Z$7+6&gt;=$I73),"◆",""),IF(AND($C73="Task",$M73&lt;&gt;"",Z$7&lt;=IF($N73="",$D$4,$N73),Z$7+6&gt;=$M73),"●",""))</f>
        <v/>
      </c>
      <c r="AA73" s="25" t="str">
        <f aca="false">IF($C73="Milestone",IF(AND(AA$7&lt;=$I73,AA$7+6&gt;=$I73),"◆",""),IF(AND($C73="Task",$M73&lt;&gt;"",AA$7&lt;=IF($N73="",$D$4,$N73),AA$7+6&gt;=$M73),"●",""))</f>
        <v/>
      </c>
      <c r="AB73" s="25" t="str">
        <f aca="false">IF($C73="Milestone",IF(AND(AB$7&lt;=$I73,AB$7+6&gt;=$I73),"◆",""),IF(AND($C73="Task",$M73&lt;&gt;"",AB$7&lt;=IF($N73="",$D$4,$N73),AB$7+6&gt;=$M73),"●",""))</f>
        <v/>
      </c>
      <c r="AC73" s="25" t="str">
        <f aca="false">IF($C73="Milestone",IF(AND(AC$7&lt;=$I73,AC$7+6&gt;=$I73),"◆",""),IF(AND($C73="Task",$M73&lt;&gt;"",AC$7&lt;=IF($N73="",$D$4,$N73),AC$7+6&gt;=$M73),"●",""))</f>
        <v/>
      </c>
      <c r="AD73" s="25" t="str">
        <f aca="false">IF($C73="Milestone",IF(AND(AD$7&lt;=$I73,AD$7+6&gt;=$I73),"◆",""),IF(AND($C73="Task",$M73&lt;&gt;"",AD$7&lt;=IF($N73="",$D$4,$N73),AD$7+6&gt;=$M73),"●",""))</f>
        <v/>
      </c>
      <c r="AE73" s="25" t="str">
        <f aca="false">IF($C73="Milestone",IF(AND(AE$7&lt;=$I73,AE$7+6&gt;=$I73),"◆",""),IF(AND($C73="Task",$M73&lt;&gt;"",AE$7&lt;=IF($N73="",$D$4,$N73),AE$7+6&gt;=$M73),"●",""))</f>
        <v/>
      </c>
      <c r="AF73" s="25" t="str">
        <f aca="false">IF($C73="Milestone",IF(AND(AF$7&lt;=$I73,AF$7+6&gt;=$I73),"◆",""),IF(AND($C73="Task",$M73&lt;&gt;"",AF$7&lt;=IF($N73="",$D$4,$N73),AF$7+6&gt;=$M73),"●",""))</f>
        <v/>
      </c>
      <c r="AG73" s="25" t="str">
        <f aca="false">IF($C73="Milestone",IF(AND(AG$7&lt;=$I73,AG$7+6&gt;=$I73),"◆",""),IF(AND($C73="Task",$M73&lt;&gt;"",AG$7&lt;=IF($N73="",$D$4,$N73),AG$7+6&gt;=$M73),"●",""))</f>
        <v/>
      </c>
      <c r="AH73" s="25" t="str">
        <f aca="false">IF($C73="Milestone",IF(AND(AH$7&lt;=$I73,AH$7+6&gt;=$I73),"◆",""),IF(AND($C73="Task",$M73&lt;&gt;"",AH$7&lt;=IF($N73="",$D$4,$N73),AH$7+6&gt;=$M73),"●",""))</f>
        <v/>
      </c>
      <c r="AI73" s="25" t="str">
        <f aca="false">IF($C73="Milestone",IF(AND(AI$7&lt;=$I73,AI$7+6&gt;=$I73),"◆",""),IF(AND($C73="Task",$M73&lt;&gt;"",AI$7&lt;=IF($N73="",$D$4,$N73),AI$7+6&gt;=$M73),"●",""))</f>
        <v/>
      </c>
      <c r="AJ73" s="25" t="str">
        <f aca="false">IF($C73="Milestone",IF(AND(AJ$7&lt;=$I73,AJ$7+6&gt;=$I73),"◆",""),IF(AND($C73="Task",$M73&lt;&gt;"",AJ$7&lt;=IF($N73="",$D$4,$N73),AJ$7+6&gt;=$M73),"●",""))</f>
        <v/>
      </c>
      <c r="AK73" s="25" t="str">
        <f aca="false">IF($C73="Milestone",IF(AND(AK$7&lt;=$I73,AK$7+6&gt;=$I73),"◆",""),IF(AND($C73="Task",$M73&lt;&gt;"",AK$7&lt;=IF($N73="",$D$4,$N73),AK$7+6&gt;=$M73),"●",""))</f>
        <v/>
      </c>
      <c r="AL73" s="25" t="str">
        <f aca="false">IF($C73="Milestone",IF(AND(AL$7&lt;=$I73,AL$7+6&gt;=$I73),"◆",""),IF(AND($C73="Task",$M73&lt;&gt;"",AL$7&lt;=IF($N73="",$D$4,$N73),AL$7+6&gt;=$M73),"●",""))</f>
        <v/>
      </c>
      <c r="AM73" s="25" t="str">
        <f aca="false">IF($C73="Milestone",IF(AND(AM$7&lt;=$I73,AM$7+6&gt;=$I73),"◆",""),IF(AND($C73="Task",$M73&lt;&gt;"",AM$7&lt;=IF($N73="",$D$4,$N73),AM$7+6&gt;=$M73),"●",""))</f>
        <v/>
      </c>
      <c r="AN73" s="25" t="str">
        <f aca="false">IF($C73="Milestone",IF(AND(AN$7&lt;=$I73,AN$7+6&gt;=$I73),"◆",""),IF(AND($C73="Task",$M73&lt;&gt;"",AN$7&lt;=IF($N73="",$D$4,$N73),AN$7+6&gt;=$M73),"●",""))</f>
        <v/>
      </c>
      <c r="AO73" s="25" t="str">
        <f aca="false">IF($C73="Milestone",IF(AND(AO$7&lt;=$I73,AO$7+6&gt;=$I73),"◆",""),IF(AND($C73="Task",$M73&lt;&gt;"",AO$7&lt;=IF($N73="",$D$4,$N73),AO$7+6&gt;=$M73),"●",""))</f>
        <v/>
      </c>
      <c r="AP73" s="25" t="str">
        <f aca="false">IF($C73="Milestone",IF(AND(AP$7&lt;=$I73,AP$7+6&gt;=$I73),"◆",""),IF(AND($C73="Task",$M73&lt;&gt;"",AP$7&lt;=IF($N73="",$D$4,$N73),AP$7+6&gt;=$M73),"●",""))</f>
        <v/>
      </c>
      <c r="AQ73" s="25" t="str">
        <f aca="false">IF($C73="Milestone",IF(AND(AQ$7&lt;=$I73,AQ$7+6&gt;=$I73),"◆",""),IF(AND($C73="Task",$M73&lt;&gt;"",AQ$7&lt;=IF($N73="",$D$4,$N73),AQ$7+6&gt;=$M73),"●",""))</f>
        <v/>
      </c>
      <c r="AR73" s="25" t="str">
        <f aca="false">IF($C73="Milestone",IF(AND(AR$7&lt;=$I73,AR$7+6&gt;=$I73),"◆",""),IF(AND($C73="Task",$M73&lt;&gt;"",AR$7&lt;=IF($N73="",$D$4,$N73),AR$7+6&gt;=$M73),"●",""))</f>
        <v/>
      </c>
      <c r="AS73" s="25" t="str">
        <f aca="false">IF($C73="Milestone",IF(AND(AS$7&lt;=$I73,AS$7+6&gt;=$I73),"◆",""),IF(AND($C73="Task",$M73&lt;&gt;"",AS$7&lt;=IF($N73="",$D$4,$N73),AS$7+6&gt;=$M73),"●",""))</f>
        <v/>
      </c>
      <c r="AT73" s="25" t="str">
        <f aca="false">IF($C73="Milestone",IF(AND(AT$7&lt;=$I73,AT$7+6&gt;=$I73),"◆",""),IF(AND($C73="Task",$M73&lt;&gt;"",AT$7&lt;=IF($N73="",$D$4,$N73),AT$7+6&gt;=$M73),"●",""))</f>
        <v/>
      </c>
      <c r="AU73" s="25" t="str">
        <f aca="false">IF($C73="Milestone",IF(AND(AU$7&lt;=$I73,AU$7+6&gt;=$I73),"◆",""),IF(AND($C73="Task",$M73&lt;&gt;"",AU$7&lt;=IF($N73="",$D$4,$N73),AU$7+6&gt;=$M73),"●",""))</f>
        <v/>
      </c>
      <c r="AV73" s="25" t="str">
        <f aca="false">IF($C73="Milestone",IF(AND(AV$7&lt;=$I73,AV$7+6&gt;=$I73),"◆",""),IF(AND($C73="Task",$M73&lt;&gt;"",AV$7&lt;=IF($N73="",$D$4,$N73),AV$7+6&gt;=$M73),"●",""))</f>
        <v/>
      </c>
      <c r="AW73" s="25" t="str">
        <f aca="false">IF($C73="Milestone",IF(AND(AW$7&lt;=$I73,AW$7+6&gt;=$I73),"◆",""),IF(AND($C73="Task",$M73&lt;&gt;"",AW$7&lt;=IF($N73="",$D$4,$N73),AW$7+6&gt;=$M73),"●",""))</f>
        <v/>
      </c>
      <c r="AX73" s="25" t="str">
        <f aca="false">IF($C73="Milestone",IF(AND(AX$7&lt;=$I73,AX$7+6&gt;=$I73),"◆",""),IF(AND($C73="Task",$M73&lt;&gt;"",AX$7&lt;=IF($N73="",$D$4,$N73),AX$7+6&gt;=$M73),"●",""))</f>
        <v/>
      </c>
      <c r="AY73" s="25" t="str">
        <f aca="false">IF($C73="Milestone",IF(AND(AY$7&lt;=$I73,AY$7+6&gt;=$I73),"◆",""),IF(AND($C73="Task",$M73&lt;&gt;"",AY$7&lt;=IF($N73="",$D$4,$N73),AY$7+6&gt;=$M73),"●",""))</f>
        <v/>
      </c>
      <c r="AZ73" s="25" t="str">
        <f aca="false">IF($C73="Milestone",IF(AND(AZ$7&lt;=$I73,AZ$7+6&gt;=$I73),"◆",""),IF(AND($C73="Task",$M73&lt;&gt;"",AZ$7&lt;=IF($N73="",$D$4,$N73),AZ$7+6&gt;=$M73),"●",""))</f>
        <v/>
      </c>
    </row>
    <row r="74" customFormat="false" ht="18" hidden="false" customHeight="true" outlineLevel="0" collapsed="false">
      <c r="A74" s="18" t="s">
        <v>180</v>
      </c>
      <c r="B74" s="19" t="s">
        <v>181</v>
      </c>
      <c r="C74" s="18" t="s">
        <v>43</v>
      </c>
      <c r="D74" s="18"/>
      <c r="E74" s="18" t="s">
        <v>178</v>
      </c>
      <c r="F74" s="18" t="s">
        <v>44</v>
      </c>
      <c r="G74" s="20" t="n">
        <v>46475</v>
      </c>
      <c r="H74" s="20" t="n">
        <v>46475</v>
      </c>
      <c r="I74" s="21" t="n">
        <v>46447</v>
      </c>
      <c r="J74" s="21" t="n">
        <v>46447</v>
      </c>
      <c r="K74" s="18" t="str">
        <f aca="false">IF(C74="Task",ROUND((J74-I74+3)/7,0),"")</f>
        <v/>
      </c>
      <c r="L74" s="18"/>
      <c r="M74" s="21"/>
      <c r="N74" s="21"/>
      <c r="O74" s="22"/>
      <c r="P74" s="18" t="str">
        <f aca="false">IF(C74="Break","",IF(C74="Milestone",IF(N74&lt;&gt;"","Done",IF($D$4&gt;J74,"Overdue","Upcoming")),IF(N(O74)&gt;=1,"Done",IF($D$4&lt;I74,"Not started",IF($D$4&gt;J74,"Late",IF(N(O74)+0.1&lt;($D$4-I74+1)/(J74-I74+1),"Behind","On track"))))))</f>
        <v>Upcoming</v>
      </c>
      <c r="Q74" s="23" t="n">
        <f aca="false">IF(C74="Break","",ROUND((IF(N74&lt;&gt;"",N74,J74)-H74)/7,1))</f>
        <v>-4</v>
      </c>
      <c r="R74" s="18" t="str">
        <f aca="false">IF(C74="Milestone",IF(N74&lt;&gt;"","✓",""),IF(AND(C74="Task",N(O74)&gt;=1),"✓",""))</f>
        <v/>
      </c>
      <c r="S74" s="18" t="str">
        <f aca="false">IF(C74="Task",K74*N(O74),"")</f>
        <v/>
      </c>
      <c r="T74" s="24"/>
      <c r="U74" s="25" t="str">
        <f aca="false">IF($C74="Milestone",IF(AND(U$7&lt;=$I74,U$7+6&gt;=$I74),"◆",""),IF(AND($C74="Task",$M74&lt;&gt;"",U$7&lt;=IF($N74="",$D$4,$N74),U$7+6&gt;=$M74),"●",""))</f>
        <v/>
      </c>
      <c r="V74" s="25" t="str">
        <f aca="false">IF($C74="Milestone",IF(AND(V$7&lt;=$I74,V$7+6&gt;=$I74),"◆",""),IF(AND($C74="Task",$M74&lt;&gt;"",V$7&lt;=IF($N74="",$D$4,$N74),V$7+6&gt;=$M74),"●",""))</f>
        <v/>
      </c>
      <c r="W74" s="25" t="str">
        <f aca="false">IF($C74="Milestone",IF(AND(W$7&lt;=$I74,W$7+6&gt;=$I74),"◆",""),IF(AND($C74="Task",$M74&lt;&gt;"",W$7&lt;=IF($N74="",$D$4,$N74),W$7+6&gt;=$M74),"●",""))</f>
        <v/>
      </c>
      <c r="X74" s="25" t="str">
        <f aca="false">IF($C74="Milestone",IF(AND(X$7&lt;=$I74,X$7+6&gt;=$I74),"◆",""),IF(AND($C74="Task",$M74&lt;&gt;"",X$7&lt;=IF($N74="",$D$4,$N74),X$7+6&gt;=$M74),"●",""))</f>
        <v/>
      </c>
      <c r="Y74" s="25" t="str">
        <f aca="false">IF($C74="Milestone",IF(AND(Y$7&lt;=$I74,Y$7+6&gt;=$I74),"◆",""),IF(AND($C74="Task",$M74&lt;&gt;"",Y$7&lt;=IF($N74="",$D$4,$N74),Y$7+6&gt;=$M74),"●",""))</f>
        <v/>
      </c>
      <c r="Z74" s="25" t="str">
        <f aca="false">IF($C74="Milestone",IF(AND(Z$7&lt;=$I74,Z$7+6&gt;=$I74),"◆",""),IF(AND($C74="Task",$M74&lt;&gt;"",Z$7&lt;=IF($N74="",$D$4,$N74),Z$7+6&gt;=$M74),"●",""))</f>
        <v/>
      </c>
      <c r="AA74" s="25" t="str">
        <f aca="false">IF($C74="Milestone",IF(AND(AA$7&lt;=$I74,AA$7+6&gt;=$I74),"◆",""),IF(AND($C74="Task",$M74&lt;&gt;"",AA$7&lt;=IF($N74="",$D$4,$N74),AA$7+6&gt;=$M74),"●",""))</f>
        <v/>
      </c>
      <c r="AB74" s="25" t="str">
        <f aca="false">IF($C74="Milestone",IF(AND(AB$7&lt;=$I74,AB$7+6&gt;=$I74),"◆",""),IF(AND($C74="Task",$M74&lt;&gt;"",AB$7&lt;=IF($N74="",$D$4,$N74),AB$7+6&gt;=$M74),"●",""))</f>
        <v/>
      </c>
      <c r="AC74" s="25" t="str">
        <f aca="false">IF($C74="Milestone",IF(AND(AC$7&lt;=$I74,AC$7+6&gt;=$I74),"◆",""),IF(AND($C74="Task",$M74&lt;&gt;"",AC$7&lt;=IF($N74="",$D$4,$N74),AC$7+6&gt;=$M74),"●",""))</f>
        <v/>
      </c>
      <c r="AD74" s="25" t="str">
        <f aca="false">IF($C74="Milestone",IF(AND(AD$7&lt;=$I74,AD$7+6&gt;=$I74),"◆",""),IF(AND($C74="Task",$M74&lt;&gt;"",AD$7&lt;=IF($N74="",$D$4,$N74),AD$7+6&gt;=$M74),"●",""))</f>
        <v/>
      </c>
      <c r="AE74" s="25" t="str">
        <f aca="false">IF($C74="Milestone",IF(AND(AE$7&lt;=$I74,AE$7+6&gt;=$I74),"◆",""),IF(AND($C74="Task",$M74&lt;&gt;"",AE$7&lt;=IF($N74="",$D$4,$N74),AE$7+6&gt;=$M74),"●",""))</f>
        <v/>
      </c>
      <c r="AF74" s="25" t="str">
        <f aca="false">IF($C74="Milestone",IF(AND(AF$7&lt;=$I74,AF$7+6&gt;=$I74),"◆",""),IF(AND($C74="Task",$M74&lt;&gt;"",AF$7&lt;=IF($N74="",$D$4,$N74),AF$7+6&gt;=$M74),"●",""))</f>
        <v/>
      </c>
      <c r="AG74" s="25" t="str">
        <f aca="false">IF($C74="Milestone",IF(AND(AG$7&lt;=$I74,AG$7+6&gt;=$I74),"◆",""),IF(AND($C74="Task",$M74&lt;&gt;"",AG$7&lt;=IF($N74="",$D$4,$N74),AG$7+6&gt;=$M74),"●",""))</f>
        <v/>
      </c>
      <c r="AH74" s="25" t="str">
        <f aca="false">IF($C74="Milestone",IF(AND(AH$7&lt;=$I74,AH$7+6&gt;=$I74),"◆",""),IF(AND($C74="Task",$M74&lt;&gt;"",AH$7&lt;=IF($N74="",$D$4,$N74),AH$7+6&gt;=$M74),"●",""))</f>
        <v/>
      </c>
      <c r="AI74" s="25" t="str">
        <f aca="false">IF($C74="Milestone",IF(AND(AI$7&lt;=$I74,AI$7+6&gt;=$I74),"◆",""),IF(AND($C74="Task",$M74&lt;&gt;"",AI$7&lt;=IF($N74="",$D$4,$N74),AI$7+6&gt;=$M74),"●",""))</f>
        <v/>
      </c>
      <c r="AJ74" s="25" t="str">
        <f aca="false">IF($C74="Milestone",IF(AND(AJ$7&lt;=$I74,AJ$7+6&gt;=$I74),"◆",""),IF(AND($C74="Task",$M74&lt;&gt;"",AJ$7&lt;=IF($N74="",$D$4,$N74),AJ$7+6&gt;=$M74),"●",""))</f>
        <v/>
      </c>
      <c r="AK74" s="25" t="str">
        <f aca="false">IF($C74="Milestone",IF(AND(AK$7&lt;=$I74,AK$7+6&gt;=$I74),"◆",""),IF(AND($C74="Task",$M74&lt;&gt;"",AK$7&lt;=IF($N74="",$D$4,$N74),AK$7+6&gt;=$M74),"●",""))</f>
        <v/>
      </c>
      <c r="AL74" s="25" t="str">
        <f aca="false">IF($C74="Milestone",IF(AND(AL$7&lt;=$I74,AL$7+6&gt;=$I74),"◆",""),IF(AND($C74="Task",$M74&lt;&gt;"",AL$7&lt;=IF($N74="",$D$4,$N74),AL$7+6&gt;=$M74),"●",""))</f>
        <v/>
      </c>
      <c r="AM74" s="25" t="str">
        <f aca="false">IF($C74="Milestone",IF(AND(AM$7&lt;=$I74,AM$7+6&gt;=$I74),"◆",""),IF(AND($C74="Task",$M74&lt;&gt;"",AM$7&lt;=IF($N74="",$D$4,$N74),AM$7+6&gt;=$M74),"●",""))</f>
        <v/>
      </c>
      <c r="AN74" s="25" t="str">
        <f aca="false">IF($C74="Milestone",IF(AND(AN$7&lt;=$I74,AN$7+6&gt;=$I74),"◆",""),IF(AND($C74="Task",$M74&lt;&gt;"",AN$7&lt;=IF($N74="",$D$4,$N74),AN$7+6&gt;=$M74),"●",""))</f>
        <v>◆</v>
      </c>
      <c r="AO74" s="25" t="str">
        <f aca="false">IF($C74="Milestone",IF(AND(AO$7&lt;=$I74,AO$7+6&gt;=$I74),"◆",""),IF(AND($C74="Task",$M74&lt;&gt;"",AO$7&lt;=IF($N74="",$D$4,$N74),AO$7+6&gt;=$M74),"●",""))</f>
        <v/>
      </c>
      <c r="AP74" s="25" t="str">
        <f aca="false">IF($C74="Milestone",IF(AND(AP$7&lt;=$I74,AP$7+6&gt;=$I74),"◆",""),IF(AND($C74="Task",$M74&lt;&gt;"",AP$7&lt;=IF($N74="",$D$4,$N74),AP$7+6&gt;=$M74),"●",""))</f>
        <v/>
      </c>
      <c r="AQ74" s="25" t="str">
        <f aca="false">IF($C74="Milestone",IF(AND(AQ$7&lt;=$I74,AQ$7+6&gt;=$I74),"◆",""),IF(AND($C74="Task",$M74&lt;&gt;"",AQ$7&lt;=IF($N74="",$D$4,$N74),AQ$7+6&gt;=$M74),"●",""))</f>
        <v/>
      </c>
      <c r="AR74" s="25" t="str">
        <f aca="false">IF($C74="Milestone",IF(AND(AR$7&lt;=$I74,AR$7+6&gt;=$I74),"◆",""),IF(AND($C74="Task",$M74&lt;&gt;"",AR$7&lt;=IF($N74="",$D$4,$N74),AR$7+6&gt;=$M74),"●",""))</f>
        <v/>
      </c>
      <c r="AS74" s="25" t="str">
        <f aca="false">IF($C74="Milestone",IF(AND(AS$7&lt;=$I74,AS$7+6&gt;=$I74),"◆",""),IF(AND($C74="Task",$M74&lt;&gt;"",AS$7&lt;=IF($N74="",$D$4,$N74),AS$7+6&gt;=$M74),"●",""))</f>
        <v/>
      </c>
      <c r="AT74" s="25" t="str">
        <f aca="false">IF($C74="Milestone",IF(AND(AT$7&lt;=$I74,AT$7+6&gt;=$I74),"◆",""),IF(AND($C74="Task",$M74&lt;&gt;"",AT$7&lt;=IF($N74="",$D$4,$N74),AT$7+6&gt;=$M74),"●",""))</f>
        <v/>
      </c>
      <c r="AU74" s="25" t="str">
        <f aca="false">IF($C74="Milestone",IF(AND(AU$7&lt;=$I74,AU$7+6&gt;=$I74),"◆",""),IF(AND($C74="Task",$M74&lt;&gt;"",AU$7&lt;=IF($N74="",$D$4,$N74),AU$7+6&gt;=$M74),"●",""))</f>
        <v/>
      </c>
      <c r="AV74" s="25" t="str">
        <f aca="false">IF($C74="Milestone",IF(AND(AV$7&lt;=$I74,AV$7+6&gt;=$I74),"◆",""),IF(AND($C74="Task",$M74&lt;&gt;"",AV$7&lt;=IF($N74="",$D$4,$N74),AV$7+6&gt;=$M74),"●",""))</f>
        <v/>
      </c>
      <c r="AW74" s="25" t="str">
        <f aca="false">IF($C74="Milestone",IF(AND(AW$7&lt;=$I74,AW$7+6&gt;=$I74),"◆",""),IF(AND($C74="Task",$M74&lt;&gt;"",AW$7&lt;=IF($N74="",$D$4,$N74),AW$7+6&gt;=$M74),"●",""))</f>
        <v/>
      </c>
      <c r="AX74" s="25" t="str">
        <f aca="false">IF($C74="Milestone",IF(AND(AX$7&lt;=$I74,AX$7+6&gt;=$I74),"◆",""),IF(AND($C74="Task",$M74&lt;&gt;"",AX$7&lt;=IF($N74="",$D$4,$N74),AX$7+6&gt;=$M74),"●",""))</f>
        <v/>
      </c>
      <c r="AY74" s="25" t="str">
        <f aca="false">IF($C74="Milestone",IF(AND(AY$7&lt;=$I74,AY$7+6&gt;=$I74),"◆",""),IF(AND($C74="Task",$M74&lt;&gt;"",AY$7&lt;=IF($N74="",$D$4,$N74),AY$7+6&gt;=$M74),"●",""))</f>
        <v/>
      </c>
      <c r="AZ74" s="25" t="str">
        <f aca="false">IF($C74="Milestone",IF(AND(AZ$7&lt;=$I74,AZ$7+6&gt;=$I74),"◆",""),IF(AND($C74="Task",$M74&lt;&gt;"",AZ$7&lt;=IF($N74="",$D$4,$N74),AZ$7+6&gt;=$M74),"●",""))</f>
        <v/>
      </c>
    </row>
    <row r="75" customFormat="false" ht="18" hidden="false" customHeight="true" outlineLevel="0" collapsed="false">
      <c r="A75" s="18" t="s">
        <v>182</v>
      </c>
      <c r="B75" s="19" t="s">
        <v>183</v>
      </c>
      <c r="C75" s="18" t="s">
        <v>20</v>
      </c>
      <c r="D75" s="18"/>
      <c r="E75" s="18" t="s">
        <v>180</v>
      </c>
      <c r="F75" s="18" t="s">
        <v>44</v>
      </c>
      <c r="G75" s="20" t="n">
        <v>46482</v>
      </c>
      <c r="H75" s="20" t="n">
        <v>46500</v>
      </c>
      <c r="I75" s="21" t="n">
        <v>46447</v>
      </c>
      <c r="J75" s="21" t="n">
        <v>46465</v>
      </c>
      <c r="K75" s="18" t="n">
        <f aca="false">IF(C75="Task",ROUND((J75-I75+3)/7,0),"")</f>
        <v>3</v>
      </c>
      <c r="L75" s="18" t="n">
        <v>0</v>
      </c>
      <c r="M75" s="21"/>
      <c r="N75" s="21"/>
      <c r="O75" s="22"/>
      <c r="P75" s="18" t="str">
        <f aca="false">IF(C75="Break","",IF(C75="Milestone",IF(N75&lt;&gt;"","Done",IF($D$4&gt;J75,"Overdue","Upcoming")),IF(N(O75)&gt;=1,"Done",IF($D$4&lt;I75,"Not started",IF($D$4&gt;J75,"Late",IF(N(O75)+0.1&lt;($D$4-I75+1)/(J75-I75+1),"Behind","On track"))))))</f>
        <v>Not started</v>
      </c>
      <c r="Q75" s="23" t="n">
        <f aca="false">IF(C75="Break","",ROUND((IF(N75&lt;&gt;"",N75,J75)-H75)/7,1))</f>
        <v>-5</v>
      </c>
      <c r="R75" s="18" t="str">
        <f aca="false">IF(C75="Milestone",IF(N75&lt;&gt;"","✓",""),IF(AND(C75="Task",N(O75)&gt;=1),"✓",""))</f>
        <v/>
      </c>
      <c r="S75" s="18" t="n">
        <f aca="false">IF(C75="Task",K75*N(O75),"")</f>
        <v>0</v>
      </c>
      <c r="T75" s="24"/>
      <c r="U75" s="25" t="str">
        <f aca="false">IF($C75="Milestone",IF(AND(U$7&lt;=$I75,U$7+6&gt;=$I75),"◆",""),IF(AND($C75="Task",$M75&lt;&gt;"",U$7&lt;=IF($N75="",$D$4,$N75),U$7+6&gt;=$M75),"●",""))</f>
        <v/>
      </c>
      <c r="V75" s="25" t="str">
        <f aca="false">IF($C75="Milestone",IF(AND(V$7&lt;=$I75,V$7+6&gt;=$I75),"◆",""),IF(AND($C75="Task",$M75&lt;&gt;"",V$7&lt;=IF($N75="",$D$4,$N75),V$7+6&gt;=$M75),"●",""))</f>
        <v/>
      </c>
      <c r="W75" s="25" t="str">
        <f aca="false">IF($C75="Milestone",IF(AND(W$7&lt;=$I75,W$7+6&gt;=$I75),"◆",""),IF(AND($C75="Task",$M75&lt;&gt;"",W$7&lt;=IF($N75="",$D$4,$N75),W$7+6&gt;=$M75),"●",""))</f>
        <v/>
      </c>
      <c r="X75" s="25" t="str">
        <f aca="false">IF($C75="Milestone",IF(AND(X$7&lt;=$I75,X$7+6&gt;=$I75),"◆",""),IF(AND($C75="Task",$M75&lt;&gt;"",X$7&lt;=IF($N75="",$D$4,$N75),X$7+6&gt;=$M75),"●",""))</f>
        <v/>
      </c>
      <c r="Y75" s="25" t="str">
        <f aca="false">IF($C75="Milestone",IF(AND(Y$7&lt;=$I75,Y$7+6&gt;=$I75),"◆",""),IF(AND($C75="Task",$M75&lt;&gt;"",Y$7&lt;=IF($N75="",$D$4,$N75),Y$7+6&gt;=$M75),"●",""))</f>
        <v/>
      </c>
      <c r="Z75" s="25" t="str">
        <f aca="false">IF($C75="Milestone",IF(AND(Z$7&lt;=$I75,Z$7+6&gt;=$I75),"◆",""),IF(AND($C75="Task",$M75&lt;&gt;"",Z$7&lt;=IF($N75="",$D$4,$N75),Z$7+6&gt;=$M75),"●",""))</f>
        <v/>
      </c>
      <c r="AA75" s="25" t="str">
        <f aca="false">IF($C75="Milestone",IF(AND(AA$7&lt;=$I75,AA$7+6&gt;=$I75),"◆",""),IF(AND($C75="Task",$M75&lt;&gt;"",AA$7&lt;=IF($N75="",$D$4,$N75),AA$7+6&gt;=$M75),"●",""))</f>
        <v/>
      </c>
      <c r="AB75" s="25" t="str">
        <f aca="false">IF($C75="Milestone",IF(AND(AB$7&lt;=$I75,AB$7+6&gt;=$I75),"◆",""),IF(AND($C75="Task",$M75&lt;&gt;"",AB$7&lt;=IF($N75="",$D$4,$N75),AB$7+6&gt;=$M75),"●",""))</f>
        <v/>
      </c>
      <c r="AC75" s="25" t="str">
        <f aca="false">IF($C75="Milestone",IF(AND(AC$7&lt;=$I75,AC$7+6&gt;=$I75),"◆",""),IF(AND($C75="Task",$M75&lt;&gt;"",AC$7&lt;=IF($N75="",$D$4,$N75),AC$7+6&gt;=$M75),"●",""))</f>
        <v/>
      </c>
      <c r="AD75" s="25" t="str">
        <f aca="false">IF($C75="Milestone",IF(AND(AD$7&lt;=$I75,AD$7+6&gt;=$I75),"◆",""),IF(AND($C75="Task",$M75&lt;&gt;"",AD$7&lt;=IF($N75="",$D$4,$N75),AD$7+6&gt;=$M75),"●",""))</f>
        <v/>
      </c>
      <c r="AE75" s="25" t="str">
        <f aca="false">IF($C75="Milestone",IF(AND(AE$7&lt;=$I75,AE$7+6&gt;=$I75),"◆",""),IF(AND($C75="Task",$M75&lt;&gt;"",AE$7&lt;=IF($N75="",$D$4,$N75),AE$7+6&gt;=$M75),"●",""))</f>
        <v/>
      </c>
      <c r="AF75" s="25" t="str">
        <f aca="false">IF($C75="Milestone",IF(AND(AF$7&lt;=$I75,AF$7+6&gt;=$I75),"◆",""),IF(AND($C75="Task",$M75&lt;&gt;"",AF$7&lt;=IF($N75="",$D$4,$N75),AF$7+6&gt;=$M75),"●",""))</f>
        <v/>
      </c>
      <c r="AG75" s="25" t="str">
        <f aca="false">IF($C75="Milestone",IF(AND(AG$7&lt;=$I75,AG$7+6&gt;=$I75),"◆",""),IF(AND($C75="Task",$M75&lt;&gt;"",AG$7&lt;=IF($N75="",$D$4,$N75),AG$7+6&gt;=$M75),"●",""))</f>
        <v/>
      </c>
      <c r="AH75" s="25" t="str">
        <f aca="false">IF($C75="Milestone",IF(AND(AH$7&lt;=$I75,AH$7+6&gt;=$I75),"◆",""),IF(AND($C75="Task",$M75&lt;&gt;"",AH$7&lt;=IF($N75="",$D$4,$N75),AH$7+6&gt;=$M75),"●",""))</f>
        <v/>
      </c>
      <c r="AI75" s="25" t="str">
        <f aca="false">IF($C75="Milestone",IF(AND(AI$7&lt;=$I75,AI$7+6&gt;=$I75),"◆",""),IF(AND($C75="Task",$M75&lt;&gt;"",AI$7&lt;=IF($N75="",$D$4,$N75),AI$7+6&gt;=$M75),"●",""))</f>
        <v/>
      </c>
      <c r="AJ75" s="25" t="str">
        <f aca="false">IF($C75="Milestone",IF(AND(AJ$7&lt;=$I75,AJ$7+6&gt;=$I75),"◆",""),IF(AND($C75="Task",$M75&lt;&gt;"",AJ$7&lt;=IF($N75="",$D$4,$N75),AJ$7+6&gt;=$M75),"●",""))</f>
        <v/>
      </c>
      <c r="AK75" s="25" t="str">
        <f aca="false">IF($C75="Milestone",IF(AND(AK$7&lt;=$I75,AK$7+6&gt;=$I75),"◆",""),IF(AND($C75="Task",$M75&lt;&gt;"",AK$7&lt;=IF($N75="",$D$4,$N75),AK$7+6&gt;=$M75),"●",""))</f>
        <v/>
      </c>
      <c r="AL75" s="25" t="str">
        <f aca="false">IF($C75="Milestone",IF(AND(AL$7&lt;=$I75,AL$7+6&gt;=$I75),"◆",""),IF(AND($C75="Task",$M75&lt;&gt;"",AL$7&lt;=IF($N75="",$D$4,$N75),AL$7+6&gt;=$M75),"●",""))</f>
        <v/>
      </c>
      <c r="AM75" s="25" t="str">
        <f aca="false">IF($C75="Milestone",IF(AND(AM$7&lt;=$I75,AM$7+6&gt;=$I75),"◆",""),IF(AND($C75="Task",$M75&lt;&gt;"",AM$7&lt;=IF($N75="",$D$4,$N75),AM$7+6&gt;=$M75),"●",""))</f>
        <v/>
      </c>
      <c r="AN75" s="25" t="str">
        <f aca="false">IF($C75="Milestone",IF(AND(AN$7&lt;=$I75,AN$7+6&gt;=$I75),"◆",""),IF(AND($C75="Task",$M75&lt;&gt;"",AN$7&lt;=IF($N75="",$D$4,$N75),AN$7+6&gt;=$M75),"●",""))</f>
        <v/>
      </c>
      <c r="AO75" s="25" t="str">
        <f aca="false">IF($C75="Milestone",IF(AND(AO$7&lt;=$I75,AO$7+6&gt;=$I75),"◆",""),IF(AND($C75="Task",$M75&lt;&gt;"",AO$7&lt;=IF($N75="",$D$4,$N75),AO$7+6&gt;=$M75),"●",""))</f>
        <v/>
      </c>
      <c r="AP75" s="25" t="str">
        <f aca="false">IF($C75="Milestone",IF(AND(AP$7&lt;=$I75,AP$7+6&gt;=$I75),"◆",""),IF(AND($C75="Task",$M75&lt;&gt;"",AP$7&lt;=IF($N75="",$D$4,$N75),AP$7+6&gt;=$M75),"●",""))</f>
        <v/>
      </c>
      <c r="AQ75" s="25" t="str">
        <f aca="false">IF($C75="Milestone",IF(AND(AQ$7&lt;=$I75,AQ$7+6&gt;=$I75),"◆",""),IF(AND($C75="Task",$M75&lt;&gt;"",AQ$7&lt;=IF($N75="",$D$4,$N75),AQ$7+6&gt;=$M75),"●",""))</f>
        <v/>
      </c>
      <c r="AR75" s="25" t="str">
        <f aca="false">IF($C75="Milestone",IF(AND(AR$7&lt;=$I75,AR$7+6&gt;=$I75),"◆",""),IF(AND($C75="Task",$M75&lt;&gt;"",AR$7&lt;=IF($N75="",$D$4,$N75),AR$7+6&gt;=$M75),"●",""))</f>
        <v/>
      </c>
      <c r="AS75" s="25" t="str">
        <f aca="false">IF($C75="Milestone",IF(AND(AS$7&lt;=$I75,AS$7+6&gt;=$I75),"◆",""),IF(AND($C75="Task",$M75&lt;&gt;"",AS$7&lt;=IF($N75="",$D$4,$N75),AS$7+6&gt;=$M75),"●",""))</f>
        <v/>
      </c>
      <c r="AT75" s="25" t="str">
        <f aca="false">IF($C75="Milestone",IF(AND(AT$7&lt;=$I75,AT$7+6&gt;=$I75),"◆",""),IF(AND($C75="Task",$M75&lt;&gt;"",AT$7&lt;=IF($N75="",$D$4,$N75),AT$7+6&gt;=$M75),"●",""))</f>
        <v/>
      </c>
      <c r="AU75" s="25" t="str">
        <f aca="false">IF($C75="Milestone",IF(AND(AU$7&lt;=$I75,AU$7+6&gt;=$I75),"◆",""),IF(AND($C75="Task",$M75&lt;&gt;"",AU$7&lt;=IF($N75="",$D$4,$N75),AU$7+6&gt;=$M75),"●",""))</f>
        <v/>
      </c>
      <c r="AV75" s="25" t="str">
        <f aca="false">IF($C75="Milestone",IF(AND(AV$7&lt;=$I75,AV$7+6&gt;=$I75),"◆",""),IF(AND($C75="Task",$M75&lt;&gt;"",AV$7&lt;=IF($N75="",$D$4,$N75),AV$7+6&gt;=$M75),"●",""))</f>
        <v/>
      </c>
      <c r="AW75" s="25" t="str">
        <f aca="false">IF($C75="Milestone",IF(AND(AW$7&lt;=$I75,AW$7+6&gt;=$I75),"◆",""),IF(AND($C75="Task",$M75&lt;&gt;"",AW$7&lt;=IF($N75="",$D$4,$N75),AW$7+6&gt;=$M75),"●",""))</f>
        <v/>
      </c>
      <c r="AX75" s="25" t="str">
        <f aca="false">IF($C75="Milestone",IF(AND(AX$7&lt;=$I75,AX$7+6&gt;=$I75),"◆",""),IF(AND($C75="Task",$M75&lt;&gt;"",AX$7&lt;=IF($N75="",$D$4,$N75),AX$7+6&gt;=$M75),"●",""))</f>
        <v/>
      </c>
      <c r="AY75" s="25" t="str">
        <f aca="false">IF($C75="Milestone",IF(AND(AY$7&lt;=$I75,AY$7+6&gt;=$I75),"◆",""),IF(AND($C75="Task",$M75&lt;&gt;"",AY$7&lt;=IF($N75="",$D$4,$N75),AY$7+6&gt;=$M75),"●",""))</f>
        <v/>
      </c>
      <c r="AZ75" s="25" t="str">
        <f aca="false">IF($C75="Milestone",IF(AND(AZ$7&lt;=$I75,AZ$7+6&gt;=$I75),"◆",""),IF(AND($C75="Task",$M75&lt;&gt;"",AZ$7&lt;=IF($N75="",$D$4,$N75),AZ$7+6&gt;=$M75),"●",""))</f>
        <v/>
      </c>
    </row>
    <row r="76" customFormat="false" ht="18" hidden="false" customHeight="true" outlineLevel="0" collapsed="false">
      <c r="A76" s="18" t="s">
        <v>184</v>
      </c>
      <c r="B76" s="19" t="s">
        <v>185</v>
      </c>
      <c r="C76" s="18" t="s">
        <v>43</v>
      </c>
      <c r="D76" s="18"/>
      <c r="E76" s="18" t="s">
        <v>182</v>
      </c>
      <c r="F76" s="18" t="s">
        <v>44</v>
      </c>
      <c r="G76" s="20" t="n">
        <v>46500</v>
      </c>
      <c r="H76" s="20" t="n">
        <v>46500</v>
      </c>
      <c r="I76" s="21" t="n">
        <v>46472</v>
      </c>
      <c r="J76" s="21" t="n">
        <v>46472</v>
      </c>
      <c r="K76" s="18" t="str">
        <f aca="false">IF(C76="Task",ROUND((J76-I76+3)/7,0),"")</f>
        <v/>
      </c>
      <c r="L76" s="18"/>
      <c r="M76" s="21"/>
      <c r="N76" s="21"/>
      <c r="O76" s="22"/>
      <c r="P76" s="18" t="str">
        <f aca="false">IF(C76="Break","",IF(C76="Milestone",IF(N76&lt;&gt;"","Done",IF($D$4&gt;J76,"Overdue","Upcoming")),IF(N(O76)&gt;=1,"Done",IF($D$4&lt;I76,"Not started",IF($D$4&gt;J76,"Late",IF(N(O76)+0.1&lt;($D$4-I76+1)/(J76-I76+1),"Behind","On track"))))))</f>
        <v>Upcoming</v>
      </c>
      <c r="Q76" s="23" t="n">
        <f aca="false">IF(C76="Break","",ROUND((IF(N76&lt;&gt;"",N76,J76)-H76)/7,1))</f>
        <v>-4</v>
      </c>
      <c r="R76" s="18" t="str">
        <f aca="false">IF(C76="Milestone",IF(N76&lt;&gt;"","✓",""),IF(AND(C76="Task",N(O76)&gt;=1),"✓",""))</f>
        <v/>
      </c>
      <c r="S76" s="18" t="str">
        <f aca="false">IF(C76="Task",K76*N(O76),"")</f>
        <v/>
      </c>
      <c r="T76" s="24"/>
      <c r="U76" s="25" t="str">
        <f aca="false">IF($C76="Milestone",IF(AND(U$7&lt;=$I76,U$7+6&gt;=$I76),"◆",""),IF(AND($C76="Task",$M76&lt;&gt;"",U$7&lt;=IF($N76="",$D$4,$N76),U$7+6&gt;=$M76),"●",""))</f>
        <v/>
      </c>
      <c r="V76" s="25" t="str">
        <f aca="false">IF($C76="Milestone",IF(AND(V$7&lt;=$I76,V$7+6&gt;=$I76),"◆",""),IF(AND($C76="Task",$M76&lt;&gt;"",V$7&lt;=IF($N76="",$D$4,$N76),V$7+6&gt;=$M76),"●",""))</f>
        <v/>
      </c>
      <c r="W76" s="25" t="str">
        <f aca="false">IF($C76="Milestone",IF(AND(W$7&lt;=$I76,W$7+6&gt;=$I76),"◆",""),IF(AND($C76="Task",$M76&lt;&gt;"",W$7&lt;=IF($N76="",$D$4,$N76),W$7+6&gt;=$M76),"●",""))</f>
        <v/>
      </c>
      <c r="X76" s="25" t="str">
        <f aca="false">IF($C76="Milestone",IF(AND(X$7&lt;=$I76,X$7+6&gt;=$I76),"◆",""),IF(AND($C76="Task",$M76&lt;&gt;"",X$7&lt;=IF($N76="",$D$4,$N76),X$7+6&gt;=$M76),"●",""))</f>
        <v/>
      </c>
      <c r="Y76" s="25" t="str">
        <f aca="false">IF($C76="Milestone",IF(AND(Y$7&lt;=$I76,Y$7+6&gt;=$I76),"◆",""),IF(AND($C76="Task",$M76&lt;&gt;"",Y$7&lt;=IF($N76="",$D$4,$N76),Y$7+6&gt;=$M76),"●",""))</f>
        <v/>
      </c>
      <c r="Z76" s="25" t="str">
        <f aca="false">IF($C76="Milestone",IF(AND(Z$7&lt;=$I76,Z$7+6&gt;=$I76),"◆",""),IF(AND($C76="Task",$M76&lt;&gt;"",Z$7&lt;=IF($N76="",$D$4,$N76),Z$7+6&gt;=$M76),"●",""))</f>
        <v/>
      </c>
      <c r="AA76" s="25" t="str">
        <f aca="false">IF($C76="Milestone",IF(AND(AA$7&lt;=$I76,AA$7+6&gt;=$I76),"◆",""),IF(AND($C76="Task",$M76&lt;&gt;"",AA$7&lt;=IF($N76="",$D$4,$N76),AA$7+6&gt;=$M76),"●",""))</f>
        <v/>
      </c>
      <c r="AB76" s="25" t="str">
        <f aca="false">IF($C76="Milestone",IF(AND(AB$7&lt;=$I76,AB$7+6&gt;=$I76),"◆",""),IF(AND($C76="Task",$M76&lt;&gt;"",AB$7&lt;=IF($N76="",$D$4,$N76),AB$7+6&gt;=$M76),"●",""))</f>
        <v/>
      </c>
      <c r="AC76" s="25" t="str">
        <f aca="false">IF($C76="Milestone",IF(AND(AC$7&lt;=$I76,AC$7+6&gt;=$I76),"◆",""),IF(AND($C76="Task",$M76&lt;&gt;"",AC$7&lt;=IF($N76="",$D$4,$N76),AC$7+6&gt;=$M76),"●",""))</f>
        <v/>
      </c>
      <c r="AD76" s="25" t="str">
        <f aca="false">IF($C76="Milestone",IF(AND(AD$7&lt;=$I76,AD$7+6&gt;=$I76),"◆",""),IF(AND($C76="Task",$M76&lt;&gt;"",AD$7&lt;=IF($N76="",$D$4,$N76),AD$7+6&gt;=$M76),"●",""))</f>
        <v/>
      </c>
      <c r="AE76" s="25" t="str">
        <f aca="false">IF($C76="Milestone",IF(AND(AE$7&lt;=$I76,AE$7+6&gt;=$I76),"◆",""),IF(AND($C76="Task",$M76&lt;&gt;"",AE$7&lt;=IF($N76="",$D$4,$N76),AE$7+6&gt;=$M76),"●",""))</f>
        <v/>
      </c>
      <c r="AF76" s="25" t="str">
        <f aca="false">IF($C76="Milestone",IF(AND(AF$7&lt;=$I76,AF$7+6&gt;=$I76),"◆",""),IF(AND($C76="Task",$M76&lt;&gt;"",AF$7&lt;=IF($N76="",$D$4,$N76),AF$7+6&gt;=$M76),"●",""))</f>
        <v/>
      </c>
      <c r="AG76" s="25" t="str">
        <f aca="false">IF($C76="Milestone",IF(AND(AG$7&lt;=$I76,AG$7+6&gt;=$I76),"◆",""),IF(AND($C76="Task",$M76&lt;&gt;"",AG$7&lt;=IF($N76="",$D$4,$N76),AG$7+6&gt;=$M76),"●",""))</f>
        <v/>
      </c>
      <c r="AH76" s="25" t="str">
        <f aca="false">IF($C76="Milestone",IF(AND(AH$7&lt;=$I76,AH$7+6&gt;=$I76),"◆",""),IF(AND($C76="Task",$M76&lt;&gt;"",AH$7&lt;=IF($N76="",$D$4,$N76),AH$7+6&gt;=$M76),"●",""))</f>
        <v/>
      </c>
      <c r="AI76" s="25" t="str">
        <f aca="false">IF($C76="Milestone",IF(AND(AI$7&lt;=$I76,AI$7+6&gt;=$I76),"◆",""),IF(AND($C76="Task",$M76&lt;&gt;"",AI$7&lt;=IF($N76="",$D$4,$N76),AI$7+6&gt;=$M76),"●",""))</f>
        <v/>
      </c>
      <c r="AJ76" s="25" t="str">
        <f aca="false">IF($C76="Milestone",IF(AND(AJ$7&lt;=$I76,AJ$7+6&gt;=$I76),"◆",""),IF(AND($C76="Task",$M76&lt;&gt;"",AJ$7&lt;=IF($N76="",$D$4,$N76),AJ$7+6&gt;=$M76),"●",""))</f>
        <v/>
      </c>
      <c r="AK76" s="25" t="str">
        <f aca="false">IF($C76="Milestone",IF(AND(AK$7&lt;=$I76,AK$7+6&gt;=$I76),"◆",""),IF(AND($C76="Task",$M76&lt;&gt;"",AK$7&lt;=IF($N76="",$D$4,$N76),AK$7+6&gt;=$M76),"●",""))</f>
        <v/>
      </c>
      <c r="AL76" s="25" t="str">
        <f aca="false">IF($C76="Milestone",IF(AND(AL$7&lt;=$I76,AL$7+6&gt;=$I76),"◆",""),IF(AND($C76="Task",$M76&lt;&gt;"",AL$7&lt;=IF($N76="",$D$4,$N76),AL$7+6&gt;=$M76),"●",""))</f>
        <v/>
      </c>
      <c r="AM76" s="25" t="str">
        <f aca="false">IF($C76="Milestone",IF(AND(AM$7&lt;=$I76,AM$7+6&gt;=$I76),"◆",""),IF(AND($C76="Task",$M76&lt;&gt;"",AM$7&lt;=IF($N76="",$D$4,$N76),AM$7+6&gt;=$M76),"●",""))</f>
        <v/>
      </c>
      <c r="AN76" s="25" t="str">
        <f aca="false">IF($C76="Milestone",IF(AND(AN$7&lt;=$I76,AN$7+6&gt;=$I76),"◆",""),IF(AND($C76="Task",$M76&lt;&gt;"",AN$7&lt;=IF($N76="",$D$4,$N76),AN$7+6&gt;=$M76),"●",""))</f>
        <v/>
      </c>
      <c r="AO76" s="25" t="str">
        <f aca="false">IF($C76="Milestone",IF(AND(AO$7&lt;=$I76,AO$7+6&gt;=$I76),"◆",""),IF(AND($C76="Task",$M76&lt;&gt;"",AO$7&lt;=IF($N76="",$D$4,$N76),AO$7+6&gt;=$M76),"●",""))</f>
        <v/>
      </c>
      <c r="AP76" s="25" t="str">
        <f aca="false">IF($C76="Milestone",IF(AND(AP$7&lt;=$I76,AP$7+6&gt;=$I76),"◆",""),IF(AND($C76="Task",$M76&lt;&gt;"",AP$7&lt;=IF($N76="",$D$4,$N76),AP$7+6&gt;=$M76),"●",""))</f>
        <v/>
      </c>
      <c r="AQ76" s="25" t="str">
        <f aca="false">IF($C76="Milestone",IF(AND(AQ$7&lt;=$I76,AQ$7+6&gt;=$I76),"◆",""),IF(AND($C76="Task",$M76&lt;&gt;"",AQ$7&lt;=IF($N76="",$D$4,$N76),AQ$7+6&gt;=$M76),"●",""))</f>
        <v>◆</v>
      </c>
      <c r="AR76" s="25" t="str">
        <f aca="false">IF($C76="Milestone",IF(AND(AR$7&lt;=$I76,AR$7+6&gt;=$I76),"◆",""),IF(AND($C76="Task",$M76&lt;&gt;"",AR$7&lt;=IF($N76="",$D$4,$N76),AR$7+6&gt;=$M76),"●",""))</f>
        <v/>
      </c>
      <c r="AS76" s="25" t="str">
        <f aca="false">IF($C76="Milestone",IF(AND(AS$7&lt;=$I76,AS$7+6&gt;=$I76),"◆",""),IF(AND($C76="Task",$M76&lt;&gt;"",AS$7&lt;=IF($N76="",$D$4,$N76),AS$7+6&gt;=$M76),"●",""))</f>
        <v/>
      </c>
      <c r="AT76" s="25" t="str">
        <f aca="false">IF($C76="Milestone",IF(AND(AT$7&lt;=$I76,AT$7+6&gt;=$I76),"◆",""),IF(AND($C76="Task",$M76&lt;&gt;"",AT$7&lt;=IF($N76="",$D$4,$N76),AT$7+6&gt;=$M76),"●",""))</f>
        <v/>
      </c>
      <c r="AU76" s="25" t="str">
        <f aca="false">IF($C76="Milestone",IF(AND(AU$7&lt;=$I76,AU$7+6&gt;=$I76),"◆",""),IF(AND($C76="Task",$M76&lt;&gt;"",AU$7&lt;=IF($N76="",$D$4,$N76),AU$7+6&gt;=$M76),"●",""))</f>
        <v/>
      </c>
      <c r="AV76" s="25" t="str">
        <f aca="false">IF($C76="Milestone",IF(AND(AV$7&lt;=$I76,AV$7+6&gt;=$I76),"◆",""),IF(AND($C76="Task",$M76&lt;&gt;"",AV$7&lt;=IF($N76="",$D$4,$N76),AV$7+6&gt;=$M76),"●",""))</f>
        <v/>
      </c>
      <c r="AW76" s="25" t="str">
        <f aca="false">IF($C76="Milestone",IF(AND(AW$7&lt;=$I76,AW$7+6&gt;=$I76),"◆",""),IF(AND($C76="Task",$M76&lt;&gt;"",AW$7&lt;=IF($N76="",$D$4,$N76),AW$7+6&gt;=$M76),"●",""))</f>
        <v/>
      </c>
      <c r="AX76" s="25" t="str">
        <f aca="false">IF($C76="Milestone",IF(AND(AX$7&lt;=$I76,AX$7+6&gt;=$I76),"◆",""),IF(AND($C76="Task",$M76&lt;&gt;"",AX$7&lt;=IF($N76="",$D$4,$N76),AX$7+6&gt;=$M76),"●",""))</f>
        <v/>
      </c>
      <c r="AY76" s="25" t="str">
        <f aca="false">IF($C76="Milestone",IF(AND(AY$7&lt;=$I76,AY$7+6&gt;=$I76),"◆",""),IF(AND($C76="Task",$M76&lt;&gt;"",AY$7&lt;=IF($N76="",$D$4,$N76),AY$7+6&gt;=$M76),"●",""))</f>
        <v/>
      </c>
      <c r="AZ76" s="25" t="str">
        <f aca="false">IF($C76="Milestone",IF(AND(AZ$7&lt;=$I76,AZ$7+6&gt;=$I76),"◆",""),IF(AND($C76="Task",$M76&lt;&gt;"",AZ$7&lt;=IF($N76="",$D$4,$N76),AZ$7+6&gt;=$M76),"●",""))</f>
        <v/>
      </c>
    </row>
    <row r="77" customFormat="false" ht="18" hidden="false" customHeight="true" outlineLevel="0" collapsed="false">
      <c r="A77" s="18" t="s">
        <v>186</v>
      </c>
      <c r="B77" s="19" t="s">
        <v>187</v>
      </c>
      <c r="C77" s="18" t="s">
        <v>20</v>
      </c>
      <c r="D77" s="18"/>
      <c r="E77" s="18" t="s">
        <v>184</v>
      </c>
      <c r="F77" s="18" t="s">
        <v>44</v>
      </c>
      <c r="G77" s="20" t="n">
        <v>46503</v>
      </c>
      <c r="H77" s="20" t="n">
        <v>46514</v>
      </c>
      <c r="I77" s="21" t="n">
        <v>46475</v>
      </c>
      <c r="J77" s="21" t="n">
        <v>46514</v>
      </c>
      <c r="K77" s="18" t="n">
        <f aca="false">IF(C77="Task",ROUND((J77-I77+3)/7,0),"")</f>
        <v>6</v>
      </c>
      <c r="L77" s="18" t="n">
        <v>0</v>
      </c>
      <c r="M77" s="21"/>
      <c r="N77" s="21"/>
      <c r="O77" s="22"/>
      <c r="P77" s="18" t="str">
        <f aca="false">IF(C77="Break","",IF(C77="Milestone",IF(N77&lt;&gt;"","Done",IF($D$4&gt;J77,"Overdue","Upcoming")),IF(N(O77)&gt;=1,"Done",IF($D$4&lt;I77,"Not started",IF($D$4&gt;J77,"Late",IF(N(O77)+0.1&lt;($D$4-I77+1)/(J77-I77+1),"Behind","On track"))))))</f>
        <v>Not started</v>
      </c>
      <c r="Q77" s="23" t="n">
        <f aca="false">IF(C77="Break","",ROUND((IF(N77&lt;&gt;"",N77,J77)-H77)/7,1))</f>
        <v>0</v>
      </c>
      <c r="R77" s="18" t="str">
        <f aca="false">IF(C77="Milestone",IF(N77&lt;&gt;"","✓",""),IF(AND(C77="Task",N(O77)&gt;=1),"✓",""))</f>
        <v/>
      </c>
      <c r="S77" s="18" t="n">
        <f aca="false">IF(C77="Task",K77*N(O77),"")</f>
        <v>0</v>
      </c>
      <c r="T77" s="24"/>
      <c r="U77" s="25" t="str">
        <f aca="false">IF($C77="Milestone",IF(AND(U$7&lt;=$I77,U$7+6&gt;=$I77),"◆",""),IF(AND($C77="Task",$M77&lt;&gt;"",U$7&lt;=IF($N77="",$D$4,$N77),U$7+6&gt;=$M77),"●",""))</f>
        <v/>
      </c>
      <c r="V77" s="25" t="str">
        <f aca="false">IF($C77="Milestone",IF(AND(V$7&lt;=$I77,V$7+6&gt;=$I77),"◆",""),IF(AND($C77="Task",$M77&lt;&gt;"",V$7&lt;=IF($N77="",$D$4,$N77),V$7+6&gt;=$M77),"●",""))</f>
        <v/>
      </c>
      <c r="W77" s="25" t="str">
        <f aca="false">IF($C77="Milestone",IF(AND(W$7&lt;=$I77,W$7+6&gt;=$I77),"◆",""),IF(AND($C77="Task",$M77&lt;&gt;"",W$7&lt;=IF($N77="",$D$4,$N77),W$7+6&gt;=$M77),"●",""))</f>
        <v/>
      </c>
      <c r="X77" s="25" t="str">
        <f aca="false">IF($C77="Milestone",IF(AND(X$7&lt;=$I77,X$7+6&gt;=$I77),"◆",""),IF(AND($C77="Task",$M77&lt;&gt;"",X$7&lt;=IF($N77="",$D$4,$N77),X$7+6&gt;=$M77),"●",""))</f>
        <v/>
      </c>
      <c r="Y77" s="25" t="str">
        <f aca="false">IF($C77="Milestone",IF(AND(Y$7&lt;=$I77,Y$7+6&gt;=$I77),"◆",""),IF(AND($C77="Task",$M77&lt;&gt;"",Y$7&lt;=IF($N77="",$D$4,$N77),Y$7+6&gt;=$M77),"●",""))</f>
        <v/>
      </c>
      <c r="Z77" s="25" t="str">
        <f aca="false">IF($C77="Milestone",IF(AND(Z$7&lt;=$I77,Z$7+6&gt;=$I77),"◆",""),IF(AND($C77="Task",$M77&lt;&gt;"",Z$7&lt;=IF($N77="",$D$4,$N77),Z$7+6&gt;=$M77),"●",""))</f>
        <v/>
      </c>
      <c r="AA77" s="25" t="str">
        <f aca="false">IF($C77="Milestone",IF(AND(AA$7&lt;=$I77,AA$7+6&gt;=$I77),"◆",""),IF(AND($C77="Task",$M77&lt;&gt;"",AA$7&lt;=IF($N77="",$D$4,$N77),AA$7+6&gt;=$M77),"●",""))</f>
        <v/>
      </c>
      <c r="AB77" s="25" t="str">
        <f aca="false">IF($C77="Milestone",IF(AND(AB$7&lt;=$I77,AB$7+6&gt;=$I77),"◆",""),IF(AND($C77="Task",$M77&lt;&gt;"",AB$7&lt;=IF($N77="",$D$4,$N77),AB$7+6&gt;=$M77),"●",""))</f>
        <v/>
      </c>
      <c r="AC77" s="25" t="str">
        <f aca="false">IF($C77="Milestone",IF(AND(AC$7&lt;=$I77,AC$7+6&gt;=$I77),"◆",""),IF(AND($C77="Task",$M77&lt;&gt;"",AC$7&lt;=IF($N77="",$D$4,$N77),AC$7+6&gt;=$M77),"●",""))</f>
        <v/>
      </c>
      <c r="AD77" s="25" t="str">
        <f aca="false">IF($C77="Milestone",IF(AND(AD$7&lt;=$I77,AD$7+6&gt;=$I77),"◆",""),IF(AND($C77="Task",$M77&lt;&gt;"",AD$7&lt;=IF($N77="",$D$4,$N77),AD$7+6&gt;=$M77),"●",""))</f>
        <v/>
      </c>
      <c r="AE77" s="25" t="str">
        <f aca="false">IF($C77="Milestone",IF(AND(AE$7&lt;=$I77,AE$7+6&gt;=$I77),"◆",""),IF(AND($C77="Task",$M77&lt;&gt;"",AE$7&lt;=IF($N77="",$D$4,$N77),AE$7+6&gt;=$M77),"●",""))</f>
        <v/>
      </c>
      <c r="AF77" s="25" t="str">
        <f aca="false">IF($C77="Milestone",IF(AND(AF$7&lt;=$I77,AF$7+6&gt;=$I77),"◆",""),IF(AND($C77="Task",$M77&lt;&gt;"",AF$7&lt;=IF($N77="",$D$4,$N77),AF$7+6&gt;=$M77),"●",""))</f>
        <v/>
      </c>
      <c r="AG77" s="25" t="str">
        <f aca="false">IF($C77="Milestone",IF(AND(AG$7&lt;=$I77,AG$7+6&gt;=$I77),"◆",""),IF(AND($C77="Task",$M77&lt;&gt;"",AG$7&lt;=IF($N77="",$D$4,$N77),AG$7+6&gt;=$M77),"●",""))</f>
        <v/>
      </c>
      <c r="AH77" s="25" t="str">
        <f aca="false">IF($C77="Milestone",IF(AND(AH$7&lt;=$I77,AH$7+6&gt;=$I77),"◆",""),IF(AND($C77="Task",$M77&lt;&gt;"",AH$7&lt;=IF($N77="",$D$4,$N77),AH$7+6&gt;=$M77),"●",""))</f>
        <v/>
      </c>
      <c r="AI77" s="25" t="str">
        <f aca="false">IF($C77="Milestone",IF(AND(AI$7&lt;=$I77,AI$7+6&gt;=$I77),"◆",""),IF(AND($C77="Task",$M77&lt;&gt;"",AI$7&lt;=IF($N77="",$D$4,$N77),AI$7+6&gt;=$M77),"●",""))</f>
        <v/>
      </c>
      <c r="AJ77" s="25" t="str">
        <f aca="false">IF($C77="Milestone",IF(AND(AJ$7&lt;=$I77,AJ$7+6&gt;=$I77),"◆",""),IF(AND($C77="Task",$M77&lt;&gt;"",AJ$7&lt;=IF($N77="",$D$4,$N77),AJ$7+6&gt;=$M77),"●",""))</f>
        <v/>
      </c>
      <c r="AK77" s="25" t="str">
        <f aca="false">IF($C77="Milestone",IF(AND(AK$7&lt;=$I77,AK$7+6&gt;=$I77),"◆",""),IF(AND($C77="Task",$M77&lt;&gt;"",AK$7&lt;=IF($N77="",$D$4,$N77),AK$7+6&gt;=$M77),"●",""))</f>
        <v/>
      </c>
      <c r="AL77" s="25" t="str">
        <f aca="false">IF($C77="Milestone",IF(AND(AL$7&lt;=$I77,AL$7+6&gt;=$I77),"◆",""),IF(AND($C77="Task",$M77&lt;&gt;"",AL$7&lt;=IF($N77="",$D$4,$N77),AL$7+6&gt;=$M77),"●",""))</f>
        <v/>
      </c>
      <c r="AM77" s="25" t="str">
        <f aca="false">IF($C77="Milestone",IF(AND(AM$7&lt;=$I77,AM$7+6&gt;=$I77),"◆",""),IF(AND($C77="Task",$M77&lt;&gt;"",AM$7&lt;=IF($N77="",$D$4,$N77),AM$7+6&gt;=$M77),"●",""))</f>
        <v/>
      </c>
      <c r="AN77" s="25" t="str">
        <f aca="false">IF($C77="Milestone",IF(AND(AN$7&lt;=$I77,AN$7+6&gt;=$I77),"◆",""),IF(AND($C77="Task",$M77&lt;&gt;"",AN$7&lt;=IF($N77="",$D$4,$N77),AN$7+6&gt;=$M77),"●",""))</f>
        <v/>
      </c>
      <c r="AO77" s="25" t="str">
        <f aca="false">IF($C77="Milestone",IF(AND(AO$7&lt;=$I77,AO$7+6&gt;=$I77),"◆",""),IF(AND($C77="Task",$M77&lt;&gt;"",AO$7&lt;=IF($N77="",$D$4,$N77),AO$7+6&gt;=$M77),"●",""))</f>
        <v/>
      </c>
      <c r="AP77" s="25" t="str">
        <f aca="false">IF($C77="Milestone",IF(AND(AP$7&lt;=$I77,AP$7+6&gt;=$I77),"◆",""),IF(AND($C77="Task",$M77&lt;&gt;"",AP$7&lt;=IF($N77="",$D$4,$N77),AP$7+6&gt;=$M77),"●",""))</f>
        <v/>
      </c>
      <c r="AQ77" s="25" t="str">
        <f aca="false">IF($C77="Milestone",IF(AND(AQ$7&lt;=$I77,AQ$7+6&gt;=$I77),"◆",""),IF(AND($C77="Task",$M77&lt;&gt;"",AQ$7&lt;=IF($N77="",$D$4,$N77),AQ$7+6&gt;=$M77),"●",""))</f>
        <v/>
      </c>
      <c r="AR77" s="25" t="str">
        <f aca="false">IF($C77="Milestone",IF(AND(AR$7&lt;=$I77,AR$7+6&gt;=$I77),"◆",""),IF(AND($C77="Task",$M77&lt;&gt;"",AR$7&lt;=IF($N77="",$D$4,$N77),AR$7+6&gt;=$M77),"●",""))</f>
        <v/>
      </c>
      <c r="AS77" s="25" t="str">
        <f aca="false">IF($C77="Milestone",IF(AND(AS$7&lt;=$I77,AS$7+6&gt;=$I77),"◆",""),IF(AND($C77="Task",$M77&lt;&gt;"",AS$7&lt;=IF($N77="",$D$4,$N77),AS$7+6&gt;=$M77),"●",""))</f>
        <v/>
      </c>
      <c r="AT77" s="25" t="str">
        <f aca="false">IF($C77="Milestone",IF(AND(AT$7&lt;=$I77,AT$7+6&gt;=$I77),"◆",""),IF(AND($C77="Task",$M77&lt;&gt;"",AT$7&lt;=IF($N77="",$D$4,$N77),AT$7+6&gt;=$M77),"●",""))</f>
        <v/>
      </c>
      <c r="AU77" s="25" t="str">
        <f aca="false">IF($C77="Milestone",IF(AND(AU$7&lt;=$I77,AU$7+6&gt;=$I77),"◆",""),IF(AND($C77="Task",$M77&lt;&gt;"",AU$7&lt;=IF($N77="",$D$4,$N77),AU$7+6&gt;=$M77),"●",""))</f>
        <v/>
      </c>
      <c r="AV77" s="25" t="str">
        <f aca="false">IF($C77="Milestone",IF(AND(AV$7&lt;=$I77,AV$7+6&gt;=$I77),"◆",""),IF(AND($C77="Task",$M77&lt;&gt;"",AV$7&lt;=IF($N77="",$D$4,$N77),AV$7+6&gt;=$M77),"●",""))</f>
        <v/>
      </c>
      <c r="AW77" s="25" t="str">
        <f aca="false">IF($C77="Milestone",IF(AND(AW$7&lt;=$I77,AW$7+6&gt;=$I77),"◆",""),IF(AND($C77="Task",$M77&lt;&gt;"",AW$7&lt;=IF($N77="",$D$4,$N77),AW$7+6&gt;=$M77),"●",""))</f>
        <v/>
      </c>
      <c r="AX77" s="25" t="str">
        <f aca="false">IF($C77="Milestone",IF(AND(AX$7&lt;=$I77,AX$7+6&gt;=$I77),"◆",""),IF(AND($C77="Task",$M77&lt;&gt;"",AX$7&lt;=IF($N77="",$D$4,$N77),AX$7+6&gt;=$M77),"●",""))</f>
        <v/>
      </c>
      <c r="AY77" s="25" t="str">
        <f aca="false">IF($C77="Milestone",IF(AND(AY$7&lt;=$I77,AY$7+6&gt;=$I77),"◆",""),IF(AND($C77="Task",$M77&lt;&gt;"",AY$7&lt;=IF($N77="",$D$4,$N77),AY$7+6&gt;=$M77),"●",""))</f>
        <v/>
      </c>
      <c r="AZ77" s="25" t="str">
        <f aca="false">IF($C77="Milestone",IF(AND(AZ$7&lt;=$I77,AZ$7+6&gt;=$I77),"◆",""),IF(AND($C77="Task",$M77&lt;&gt;"",AZ$7&lt;=IF($N77="",$D$4,$N77),AZ$7+6&gt;=$M77),"●",""))</f>
        <v/>
      </c>
    </row>
    <row r="78" customFormat="false" ht="18" hidden="false" customHeight="true" outlineLevel="0" collapsed="false">
      <c r="A78" s="18" t="s">
        <v>188</v>
      </c>
      <c r="B78" s="19" t="s">
        <v>189</v>
      </c>
      <c r="C78" s="18" t="s">
        <v>43</v>
      </c>
      <c r="D78" s="18"/>
      <c r="E78" s="18" t="s">
        <v>186</v>
      </c>
      <c r="F78" s="18" t="s">
        <v>44</v>
      </c>
      <c r="G78" s="20" t="n">
        <v>46517</v>
      </c>
      <c r="H78" s="20" t="n">
        <v>46517</v>
      </c>
      <c r="I78" s="21" t="n">
        <v>46517</v>
      </c>
      <c r="J78" s="21" t="n">
        <v>46517</v>
      </c>
      <c r="K78" s="18" t="str">
        <f aca="false">IF(C78="Task",ROUND((J78-I78+3)/7,0),"")</f>
        <v/>
      </c>
      <c r="L78" s="18"/>
      <c r="M78" s="21"/>
      <c r="N78" s="21"/>
      <c r="O78" s="22"/>
      <c r="P78" s="18" t="str">
        <f aca="false">IF(C78="Break","",IF(C78="Milestone",IF(N78&lt;&gt;"","Done",IF($D$4&gt;J78,"Overdue","Upcoming")),IF(N(O78)&gt;=1,"Done",IF($D$4&lt;I78,"Not started",IF($D$4&gt;J78,"Late",IF(N(O78)+0.1&lt;($D$4-I78+1)/(J78-I78+1),"Behind","On track"))))))</f>
        <v>Upcoming</v>
      </c>
      <c r="Q78" s="23" t="n">
        <f aca="false">IF(C78="Break","",ROUND((IF(N78&lt;&gt;"",N78,J78)-H78)/7,1))</f>
        <v>0</v>
      </c>
      <c r="R78" s="18" t="str">
        <f aca="false">IF(C78="Milestone",IF(N78&lt;&gt;"","✓",""),IF(AND(C78="Task",N(O78)&gt;=1),"✓",""))</f>
        <v/>
      </c>
      <c r="S78" s="18" t="str">
        <f aca="false">IF(C78="Task",K78*N(O78),"")</f>
        <v/>
      </c>
      <c r="T78" s="24"/>
      <c r="U78" s="25" t="str">
        <f aca="false">IF($C78="Milestone",IF(AND(U$7&lt;=$I78,U$7+6&gt;=$I78),"◆",""),IF(AND($C78="Task",$M78&lt;&gt;"",U$7&lt;=IF($N78="",$D$4,$N78),U$7+6&gt;=$M78),"●",""))</f>
        <v/>
      </c>
      <c r="V78" s="25" t="str">
        <f aca="false">IF($C78="Milestone",IF(AND(V$7&lt;=$I78,V$7+6&gt;=$I78),"◆",""),IF(AND($C78="Task",$M78&lt;&gt;"",V$7&lt;=IF($N78="",$D$4,$N78),V$7+6&gt;=$M78),"●",""))</f>
        <v/>
      </c>
      <c r="W78" s="25" t="str">
        <f aca="false">IF($C78="Milestone",IF(AND(W$7&lt;=$I78,W$7+6&gt;=$I78),"◆",""),IF(AND($C78="Task",$M78&lt;&gt;"",W$7&lt;=IF($N78="",$D$4,$N78),W$7+6&gt;=$M78),"●",""))</f>
        <v/>
      </c>
      <c r="X78" s="25" t="str">
        <f aca="false">IF($C78="Milestone",IF(AND(X$7&lt;=$I78,X$7+6&gt;=$I78),"◆",""),IF(AND($C78="Task",$M78&lt;&gt;"",X$7&lt;=IF($N78="",$D$4,$N78),X$7+6&gt;=$M78),"●",""))</f>
        <v/>
      </c>
      <c r="Y78" s="25" t="str">
        <f aca="false">IF($C78="Milestone",IF(AND(Y$7&lt;=$I78,Y$7+6&gt;=$I78),"◆",""),IF(AND($C78="Task",$M78&lt;&gt;"",Y$7&lt;=IF($N78="",$D$4,$N78),Y$7+6&gt;=$M78),"●",""))</f>
        <v/>
      </c>
      <c r="Z78" s="25" t="str">
        <f aca="false">IF($C78="Milestone",IF(AND(Z$7&lt;=$I78,Z$7+6&gt;=$I78),"◆",""),IF(AND($C78="Task",$M78&lt;&gt;"",Z$7&lt;=IF($N78="",$D$4,$N78),Z$7+6&gt;=$M78),"●",""))</f>
        <v/>
      </c>
      <c r="AA78" s="25" t="str">
        <f aca="false">IF($C78="Milestone",IF(AND(AA$7&lt;=$I78,AA$7+6&gt;=$I78),"◆",""),IF(AND($C78="Task",$M78&lt;&gt;"",AA$7&lt;=IF($N78="",$D$4,$N78),AA$7+6&gt;=$M78),"●",""))</f>
        <v/>
      </c>
      <c r="AB78" s="25" t="str">
        <f aca="false">IF($C78="Milestone",IF(AND(AB$7&lt;=$I78,AB$7+6&gt;=$I78),"◆",""),IF(AND($C78="Task",$M78&lt;&gt;"",AB$7&lt;=IF($N78="",$D$4,$N78),AB$7+6&gt;=$M78),"●",""))</f>
        <v/>
      </c>
      <c r="AC78" s="25" t="str">
        <f aca="false">IF($C78="Milestone",IF(AND(AC$7&lt;=$I78,AC$7+6&gt;=$I78),"◆",""),IF(AND($C78="Task",$M78&lt;&gt;"",AC$7&lt;=IF($N78="",$D$4,$N78),AC$7+6&gt;=$M78),"●",""))</f>
        <v/>
      </c>
      <c r="AD78" s="25" t="str">
        <f aca="false">IF($C78="Milestone",IF(AND(AD$7&lt;=$I78,AD$7+6&gt;=$I78),"◆",""),IF(AND($C78="Task",$M78&lt;&gt;"",AD$7&lt;=IF($N78="",$D$4,$N78),AD$7+6&gt;=$M78),"●",""))</f>
        <v/>
      </c>
      <c r="AE78" s="25" t="str">
        <f aca="false">IF($C78="Milestone",IF(AND(AE$7&lt;=$I78,AE$7+6&gt;=$I78),"◆",""),IF(AND($C78="Task",$M78&lt;&gt;"",AE$7&lt;=IF($N78="",$D$4,$N78),AE$7+6&gt;=$M78),"●",""))</f>
        <v/>
      </c>
      <c r="AF78" s="25" t="str">
        <f aca="false">IF($C78="Milestone",IF(AND(AF$7&lt;=$I78,AF$7+6&gt;=$I78),"◆",""),IF(AND($C78="Task",$M78&lt;&gt;"",AF$7&lt;=IF($N78="",$D$4,$N78),AF$7+6&gt;=$M78),"●",""))</f>
        <v/>
      </c>
      <c r="AG78" s="25" t="str">
        <f aca="false">IF($C78="Milestone",IF(AND(AG$7&lt;=$I78,AG$7+6&gt;=$I78),"◆",""),IF(AND($C78="Task",$M78&lt;&gt;"",AG$7&lt;=IF($N78="",$D$4,$N78),AG$7+6&gt;=$M78),"●",""))</f>
        <v/>
      </c>
      <c r="AH78" s="25" t="str">
        <f aca="false">IF($C78="Milestone",IF(AND(AH$7&lt;=$I78,AH$7+6&gt;=$I78),"◆",""),IF(AND($C78="Task",$M78&lt;&gt;"",AH$7&lt;=IF($N78="",$D$4,$N78),AH$7+6&gt;=$M78),"●",""))</f>
        <v/>
      </c>
      <c r="AI78" s="25" t="str">
        <f aca="false">IF($C78="Milestone",IF(AND(AI$7&lt;=$I78,AI$7+6&gt;=$I78),"◆",""),IF(AND($C78="Task",$M78&lt;&gt;"",AI$7&lt;=IF($N78="",$D$4,$N78),AI$7+6&gt;=$M78),"●",""))</f>
        <v/>
      </c>
      <c r="AJ78" s="25" t="str">
        <f aca="false">IF($C78="Milestone",IF(AND(AJ$7&lt;=$I78,AJ$7+6&gt;=$I78),"◆",""),IF(AND($C78="Task",$M78&lt;&gt;"",AJ$7&lt;=IF($N78="",$D$4,$N78),AJ$7+6&gt;=$M78),"●",""))</f>
        <v/>
      </c>
      <c r="AK78" s="25" t="str">
        <f aca="false">IF($C78="Milestone",IF(AND(AK$7&lt;=$I78,AK$7+6&gt;=$I78),"◆",""),IF(AND($C78="Task",$M78&lt;&gt;"",AK$7&lt;=IF($N78="",$D$4,$N78),AK$7+6&gt;=$M78),"●",""))</f>
        <v/>
      </c>
      <c r="AL78" s="25" t="str">
        <f aca="false">IF($C78="Milestone",IF(AND(AL$7&lt;=$I78,AL$7+6&gt;=$I78),"◆",""),IF(AND($C78="Task",$M78&lt;&gt;"",AL$7&lt;=IF($N78="",$D$4,$N78),AL$7+6&gt;=$M78),"●",""))</f>
        <v/>
      </c>
      <c r="AM78" s="25" t="str">
        <f aca="false">IF($C78="Milestone",IF(AND(AM$7&lt;=$I78,AM$7+6&gt;=$I78),"◆",""),IF(AND($C78="Task",$M78&lt;&gt;"",AM$7&lt;=IF($N78="",$D$4,$N78),AM$7+6&gt;=$M78),"●",""))</f>
        <v/>
      </c>
      <c r="AN78" s="25" t="str">
        <f aca="false">IF($C78="Milestone",IF(AND(AN$7&lt;=$I78,AN$7+6&gt;=$I78),"◆",""),IF(AND($C78="Task",$M78&lt;&gt;"",AN$7&lt;=IF($N78="",$D$4,$N78),AN$7+6&gt;=$M78),"●",""))</f>
        <v/>
      </c>
      <c r="AO78" s="25" t="str">
        <f aca="false">IF($C78="Milestone",IF(AND(AO$7&lt;=$I78,AO$7+6&gt;=$I78),"◆",""),IF(AND($C78="Task",$M78&lt;&gt;"",AO$7&lt;=IF($N78="",$D$4,$N78),AO$7+6&gt;=$M78),"●",""))</f>
        <v/>
      </c>
      <c r="AP78" s="25" t="str">
        <f aca="false">IF($C78="Milestone",IF(AND(AP$7&lt;=$I78,AP$7+6&gt;=$I78),"◆",""),IF(AND($C78="Task",$M78&lt;&gt;"",AP$7&lt;=IF($N78="",$D$4,$N78),AP$7+6&gt;=$M78),"●",""))</f>
        <v/>
      </c>
      <c r="AQ78" s="25" t="str">
        <f aca="false">IF($C78="Milestone",IF(AND(AQ$7&lt;=$I78,AQ$7+6&gt;=$I78),"◆",""),IF(AND($C78="Task",$M78&lt;&gt;"",AQ$7&lt;=IF($N78="",$D$4,$N78),AQ$7+6&gt;=$M78),"●",""))</f>
        <v/>
      </c>
      <c r="AR78" s="25" t="str">
        <f aca="false">IF($C78="Milestone",IF(AND(AR$7&lt;=$I78,AR$7+6&gt;=$I78),"◆",""),IF(AND($C78="Task",$M78&lt;&gt;"",AR$7&lt;=IF($N78="",$D$4,$N78),AR$7+6&gt;=$M78),"●",""))</f>
        <v/>
      </c>
      <c r="AS78" s="25" t="str">
        <f aca="false">IF($C78="Milestone",IF(AND(AS$7&lt;=$I78,AS$7+6&gt;=$I78),"◆",""),IF(AND($C78="Task",$M78&lt;&gt;"",AS$7&lt;=IF($N78="",$D$4,$N78),AS$7+6&gt;=$M78),"●",""))</f>
        <v/>
      </c>
      <c r="AT78" s="25" t="str">
        <f aca="false">IF($C78="Milestone",IF(AND(AT$7&lt;=$I78,AT$7+6&gt;=$I78),"◆",""),IF(AND($C78="Task",$M78&lt;&gt;"",AT$7&lt;=IF($N78="",$D$4,$N78),AT$7+6&gt;=$M78),"●",""))</f>
        <v/>
      </c>
      <c r="AU78" s="25" t="str">
        <f aca="false">IF($C78="Milestone",IF(AND(AU$7&lt;=$I78,AU$7+6&gt;=$I78),"◆",""),IF(AND($C78="Task",$M78&lt;&gt;"",AU$7&lt;=IF($N78="",$D$4,$N78),AU$7+6&gt;=$M78),"●",""))</f>
        <v/>
      </c>
      <c r="AV78" s="25" t="str">
        <f aca="false">IF($C78="Milestone",IF(AND(AV$7&lt;=$I78,AV$7+6&gt;=$I78),"◆",""),IF(AND($C78="Task",$M78&lt;&gt;"",AV$7&lt;=IF($N78="",$D$4,$N78),AV$7+6&gt;=$M78),"●",""))</f>
        <v/>
      </c>
      <c r="AW78" s="25" t="str">
        <f aca="false">IF($C78="Milestone",IF(AND(AW$7&lt;=$I78,AW$7+6&gt;=$I78),"◆",""),IF(AND($C78="Task",$M78&lt;&gt;"",AW$7&lt;=IF($N78="",$D$4,$N78),AW$7+6&gt;=$M78),"●",""))</f>
        <v/>
      </c>
      <c r="AX78" s="25" t="str">
        <f aca="false">IF($C78="Milestone",IF(AND(AX$7&lt;=$I78,AX$7+6&gt;=$I78),"◆",""),IF(AND($C78="Task",$M78&lt;&gt;"",AX$7&lt;=IF($N78="",$D$4,$N78),AX$7+6&gt;=$M78),"●",""))</f>
        <v>◆</v>
      </c>
      <c r="AY78" s="25" t="str">
        <f aca="false">IF($C78="Milestone",IF(AND(AY$7&lt;=$I78,AY$7+6&gt;=$I78),"◆",""),IF(AND($C78="Task",$M78&lt;&gt;"",AY$7&lt;=IF($N78="",$D$4,$N78),AY$7+6&gt;=$M78),"●",""))</f>
        <v/>
      </c>
      <c r="AZ78" s="25" t="str">
        <f aca="false">IF($C78="Milestone",IF(AND(AZ$7&lt;=$I78,AZ$7+6&gt;=$I78),"◆",""),IF(AND($C78="Task",$M78&lt;&gt;"",AZ$7&lt;=IF($N78="",$D$4,$N78),AZ$7+6&gt;=$M78),"●",""))</f>
        <v/>
      </c>
    </row>
    <row r="80" customFormat="false" ht="15" hidden="false" customHeight="false" outlineLevel="0" collapsed="false">
      <c r="B80" s="5" t="s">
        <v>190</v>
      </c>
    </row>
    <row r="81" customFormat="false" ht="15" hidden="false" customHeight="false" outlineLevel="0" collapsed="false">
      <c r="A81" s="26"/>
      <c r="B81" s="27" t="s">
        <v>191</v>
      </c>
    </row>
    <row r="82" customFormat="false" ht="15" hidden="false" customHeight="false" outlineLevel="0" collapsed="false">
      <c r="A82" s="28"/>
      <c r="B82" s="27" t="s">
        <v>192</v>
      </c>
    </row>
    <row r="83" customFormat="false" ht="15" hidden="false" customHeight="false" outlineLevel="0" collapsed="false">
      <c r="A83" s="29"/>
      <c r="B83" s="27" t="s">
        <v>193</v>
      </c>
    </row>
    <row r="84" customFormat="false" ht="15" hidden="false" customHeight="false" outlineLevel="0" collapsed="false">
      <c r="A84" s="30"/>
      <c r="B84" s="27" t="s">
        <v>194</v>
      </c>
    </row>
    <row r="85" customFormat="false" ht="15" hidden="false" customHeight="false" outlineLevel="0" collapsed="false">
      <c r="A85" s="31"/>
      <c r="B85" s="27" t="s">
        <v>13</v>
      </c>
    </row>
    <row r="86" customFormat="false" ht="15" hidden="false" customHeight="false" outlineLevel="0" collapsed="false">
      <c r="A86" s="32" t="s">
        <v>195</v>
      </c>
      <c r="B86" s="27" t="s">
        <v>196</v>
      </c>
    </row>
    <row r="87" customFormat="false" ht="15" hidden="false" customHeight="false" outlineLevel="0" collapsed="false">
      <c r="A87" s="32" t="s">
        <v>197</v>
      </c>
      <c r="B87" s="27" t="s">
        <v>198</v>
      </c>
    </row>
    <row r="88" customFormat="false" ht="15" hidden="false" customHeight="false" outlineLevel="0" collapsed="false">
      <c r="A88" s="33"/>
      <c r="B88" s="27" t="s">
        <v>199</v>
      </c>
    </row>
    <row r="89" customFormat="false" ht="15" hidden="false" customHeight="false" outlineLevel="0" collapsed="false">
      <c r="B89" s="32" t="s">
        <v>200</v>
      </c>
    </row>
  </sheetData>
  <mergeCells count="22">
    <mergeCell ref="D3:E3"/>
    <mergeCell ref="D4:E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</mergeCells>
  <conditionalFormatting sqref="U8:AZ78">
    <cfRule type="expression" priority="2" aboveAverage="0" equalAverage="0" bottom="0" percent="0" rank="0" text="" dxfId="0">
      <formula>AND($C8="Break",U$7&lt;=$J8,U$7+4&gt;=$I8)</formula>
    </cfRule>
    <cfRule type="expression" priority="3" aboveAverage="0" equalAverage="0" bottom="0" percent="0" rank="0" text="" dxfId="1">
      <formula>AND($C8="Task",$F8="Yes",U$7&lt;=$J8,U$7+4&gt;=$I8)</formula>
    </cfRule>
    <cfRule type="expression" priority="4" aboveAverage="0" equalAverage="0" bottom="0" percent="0" rank="0" text="" dxfId="2">
      <formula>AND($C8="Task",$F8&lt;&gt;"Yes",U$7&lt;=$J8,U$7+4&gt;=$I8)</formula>
    </cfRule>
    <cfRule type="expression" priority="5" aboveAverage="0" equalAverage="0" bottom="0" percent="0" rank="0" text="" dxfId="3">
      <formula>AND($C8="Task",N($L8)&gt;0,U$7&gt;$J8,U$7&lt;=$J8+7*$L8)</formula>
    </cfRule>
  </conditionalFormatting>
  <conditionalFormatting sqref="U6:AZ78">
    <cfRule type="expression" priority="6" aboveAverage="0" equalAverage="0" bottom="0" percent="0" rank="0" text="" dxfId="4">
      <formula>AND(U$7&lt;=$D$4,U$7+6&gt;=$D$4)</formula>
    </cfRule>
  </conditionalFormatting>
  <conditionalFormatting sqref="P8:P78">
    <cfRule type="expression" priority="7" aboveAverage="0" equalAverage="0" bottom="0" percent="0" rank="0" text="" dxfId="5">
      <formula>P8="Done"</formula>
    </cfRule>
    <cfRule type="expression" priority="8" aboveAverage="0" equalAverage="0" bottom="0" percent="0" rank="0" text="" dxfId="6">
      <formula>P8="On track"</formula>
    </cfRule>
    <cfRule type="expression" priority="9" aboveAverage="0" equalAverage="0" bottom="0" percent="0" rank="0" text="" dxfId="7">
      <formula>P8="Behind"</formula>
    </cfRule>
    <cfRule type="expression" priority="10" aboveAverage="0" equalAverage="0" bottom="0" percent="0" rank="0" text="" dxfId="8">
      <formula>P8="Late"</formula>
    </cfRule>
    <cfRule type="expression" priority="11" aboveAverage="0" equalAverage="0" bottom="0" percent="0" rank="0" text="" dxfId="8">
      <formula>P8="Overdue"</formula>
    </cfRule>
  </conditionalFormatting>
  <conditionalFormatting sqref="Q8:Q78">
    <cfRule type="expression" priority="12" aboveAverage="0" equalAverage="0" bottom="0" percent="0" rank="0" text="" dxfId="9">
      <formula>N(Q8)&gt;0</formula>
    </cfRule>
  </conditionalFormatting>
  <dataValidations count="2">
    <dataValidation allowBlank="true" errorStyle="stop" operator="between" prompt="Type 0%, 25%, 50%, 75% or 100%. 100% ticks the task off." promptTitle="% complete" showDropDown="false" showErrorMessage="false" showInputMessage="true" sqref="O8:O78" type="decimal">
      <formula1>0</formula1>
      <formula2>1</formula2>
    </dataValidation>
    <dataValidation allowBlank="true" errorStyle="stop" operator="greaterThan" prompt="Type a date, for example 28/10/26." promptTitle="Date" showDropDown="false" showErrorMessage="false" showInputMessage="true" sqref="I8:J78 M8:N78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8" min="7" style="0" width="36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34" t="s">
        <v>201</v>
      </c>
    </row>
    <row r="2" customFormat="false" ht="15" hidden="false" customHeight="false" outlineLevel="0" collapsed="false">
      <c r="A2" s="35" t="s">
        <v>202</v>
      </c>
    </row>
    <row r="4" customFormat="false" ht="22.35" hidden="false" customHeight="false" outlineLevel="0" collapsed="false">
      <c r="A4" s="12" t="s">
        <v>203</v>
      </c>
      <c r="B4" s="12" t="s">
        <v>204</v>
      </c>
      <c r="C4" s="12" t="s">
        <v>20</v>
      </c>
      <c r="D4" s="12" t="s">
        <v>205</v>
      </c>
      <c r="E4" s="12" t="s">
        <v>206</v>
      </c>
      <c r="F4" s="12" t="s">
        <v>207</v>
      </c>
      <c r="G4" s="12" t="s">
        <v>208</v>
      </c>
      <c r="H4" s="12" t="s">
        <v>209</v>
      </c>
      <c r="I4" s="12" t="s">
        <v>210</v>
      </c>
    </row>
    <row r="5" customFormat="false" ht="15" hidden="false" customHeight="false" outlineLevel="0" collapsed="false">
      <c r="A5" s="36" t="n">
        <v>46318</v>
      </c>
      <c r="B5" s="37" t="s">
        <v>41</v>
      </c>
      <c r="C5" s="38" t="str">
        <f aca="false">IF(B5="","",IFERROR(INDEX(Gantt!$B$8:$B$78,MATCH(B5,Gantt!$A$8:$A$78,0)),"check ID"))</f>
        <v>Proposal review</v>
      </c>
      <c r="D5" s="36" t="n">
        <v>46316</v>
      </c>
      <c r="E5" s="36" t="n">
        <v>46316</v>
      </c>
      <c r="F5" s="38" t="n">
        <f aca="false">IF(OR(D5="",E5=""),"",E5-D5)</f>
        <v>0</v>
      </c>
      <c r="G5" s="37" t="s">
        <v>211</v>
      </c>
      <c r="H5" s="37" t="s">
        <v>212</v>
      </c>
      <c r="I5" s="37"/>
    </row>
    <row r="6" customFormat="false" ht="15" hidden="false" customHeight="false" outlineLevel="0" collapsed="false">
      <c r="A6" s="36"/>
      <c r="B6" s="37"/>
      <c r="C6" s="38" t="str">
        <f aca="false">IF(B6="","",IFERROR(INDEX(Gantt!$B$8:$B$78,MATCH(B6,Gantt!$A$8:$A$78,0)),"check ID"))</f>
        <v/>
      </c>
      <c r="D6" s="36"/>
      <c r="E6" s="36"/>
      <c r="F6" s="38" t="str">
        <f aca="false">IF(OR(D6="",E6=""),"",E6-D6)</f>
        <v/>
      </c>
      <c r="G6" s="37"/>
      <c r="H6" s="37"/>
      <c r="I6" s="37"/>
    </row>
    <row r="7" customFormat="false" ht="15" hidden="false" customHeight="false" outlineLevel="0" collapsed="false">
      <c r="A7" s="36"/>
      <c r="B7" s="37"/>
      <c r="C7" s="38" t="str">
        <f aca="false">IF(B7="","",IFERROR(INDEX(Gantt!$B$8:$B$78,MATCH(B7,Gantt!$A$8:$A$78,0)),"check ID"))</f>
        <v/>
      </c>
      <c r="D7" s="36"/>
      <c r="E7" s="36"/>
      <c r="F7" s="38" t="str">
        <f aca="false">IF(OR(D7="",E7=""),"",E7-D7)</f>
        <v/>
      </c>
      <c r="G7" s="37"/>
      <c r="H7" s="37"/>
      <c r="I7" s="37"/>
    </row>
    <row r="8" customFormat="false" ht="15" hidden="false" customHeight="false" outlineLevel="0" collapsed="false">
      <c r="A8" s="36"/>
      <c r="B8" s="37"/>
      <c r="C8" s="38" t="str">
        <f aca="false">IF(B8="","",IFERROR(INDEX(Gantt!$B$8:$B$78,MATCH(B8,Gantt!$A$8:$A$78,0)),"check ID"))</f>
        <v/>
      </c>
      <c r="D8" s="36"/>
      <c r="E8" s="36"/>
      <c r="F8" s="38" t="str">
        <f aca="false">IF(OR(D8="",E8=""),"",E8-D8)</f>
        <v/>
      </c>
      <c r="G8" s="37"/>
      <c r="H8" s="37"/>
      <c r="I8" s="37"/>
    </row>
    <row r="9" customFormat="false" ht="15" hidden="false" customHeight="false" outlineLevel="0" collapsed="false">
      <c r="A9" s="36"/>
      <c r="B9" s="37"/>
      <c r="C9" s="38" t="str">
        <f aca="false">IF(B9="","",IFERROR(INDEX(Gantt!$B$8:$B$78,MATCH(B9,Gantt!$A$8:$A$78,0)),"check ID"))</f>
        <v/>
      </c>
      <c r="D9" s="36"/>
      <c r="E9" s="36"/>
      <c r="F9" s="38" t="str">
        <f aca="false">IF(OR(D9="",E9=""),"",E9-D9)</f>
        <v/>
      </c>
      <c r="G9" s="37"/>
      <c r="H9" s="37"/>
      <c r="I9" s="37"/>
    </row>
    <row r="10" customFormat="false" ht="15" hidden="false" customHeight="false" outlineLevel="0" collapsed="false">
      <c r="A10" s="36"/>
      <c r="B10" s="37"/>
      <c r="C10" s="38" t="str">
        <f aca="false">IF(B10="","",IFERROR(INDEX(Gantt!$B$8:$B$78,MATCH(B10,Gantt!$A$8:$A$78,0)),"check ID"))</f>
        <v/>
      </c>
      <c r="D10" s="36"/>
      <c r="E10" s="36"/>
      <c r="F10" s="38" t="str">
        <f aca="false">IF(OR(D10="",E10=""),"",E10-D10)</f>
        <v/>
      </c>
      <c r="G10" s="37"/>
      <c r="H10" s="37"/>
      <c r="I10" s="37"/>
    </row>
    <row r="11" customFormat="false" ht="15" hidden="false" customHeight="false" outlineLevel="0" collapsed="false">
      <c r="A11" s="36"/>
      <c r="B11" s="37"/>
      <c r="C11" s="38" t="str">
        <f aca="false">IF(B11="","",IFERROR(INDEX(Gantt!$B$8:$B$78,MATCH(B11,Gantt!$A$8:$A$78,0)),"check ID"))</f>
        <v/>
      </c>
      <c r="D11" s="36"/>
      <c r="E11" s="36"/>
      <c r="F11" s="38" t="str">
        <f aca="false">IF(OR(D11="",E11=""),"",E11-D11)</f>
        <v/>
      </c>
      <c r="G11" s="37"/>
      <c r="H11" s="37"/>
      <c r="I11" s="37"/>
    </row>
    <row r="12" customFormat="false" ht="15" hidden="false" customHeight="false" outlineLevel="0" collapsed="false">
      <c r="A12" s="36"/>
      <c r="B12" s="37"/>
      <c r="C12" s="38" t="str">
        <f aca="false">IF(B12="","",IFERROR(INDEX(Gantt!$B$8:$B$78,MATCH(B12,Gantt!$A$8:$A$78,0)),"check ID"))</f>
        <v/>
      </c>
      <c r="D12" s="36"/>
      <c r="E12" s="36"/>
      <c r="F12" s="38" t="str">
        <f aca="false">IF(OR(D12="",E12=""),"",E12-D12)</f>
        <v/>
      </c>
      <c r="G12" s="37"/>
      <c r="H12" s="37"/>
      <c r="I12" s="37"/>
    </row>
    <row r="13" customFormat="false" ht="15" hidden="false" customHeight="false" outlineLevel="0" collapsed="false">
      <c r="A13" s="36"/>
      <c r="B13" s="37"/>
      <c r="C13" s="38" t="str">
        <f aca="false">IF(B13="","",IFERROR(INDEX(Gantt!$B$8:$B$78,MATCH(B13,Gantt!$A$8:$A$78,0)),"check ID"))</f>
        <v/>
      </c>
      <c r="D13" s="36"/>
      <c r="E13" s="36"/>
      <c r="F13" s="38" t="str">
        <f aca="false">IF(OR(D13="",E13=""),"",E13-D13)</f>
        <v/>
      </c>
      <c r="G13" s="37"/>
      <c r="H13" s="37"/>
      <c r="I13" s="37"/>
    </row>
    <row r="14" customFormat="false" ht="15" hidden="false" customHeight="false" outlineLevel="0" collapsed="false">
      <c r="A14" s="36"/>
      <c r="B14" s="37"/>
      <c r="C14" s="38" t="str">
        <f aca="false">IF(B14="","",IFERROR(INDEX(Gantt!$B$8:$B$78,MATCH(B14,Gantt!$A$8:$A$78,0)),"check ID"))</f>
        <v/>
      </c>
      <c r="D14" s="36"/>
      <c r="E14" s="36"/>
      <c r="F14" s="38" t="str">
        <f aca="false">IF(OR(D14="",E14=""),"",E14-D14)</f>
        <v/>
      </c>
      <c r="G14" s="37"/>
      <c r="H14" s="37"/>
      <c r="I14" s="37"/>
    </row>
    <row r="15" customFormat="false" ht="15" hidden="false" customHeight="false" outlineLevel="0" collapsed="false">
      <c r="A15" s="36"/>
      <c r="B15" s="37"/>
      <c r="C15" s="38" t="str">
        <f aca="false">IF(B15="","",IFERROR(INDEX(Gantt!$B$8:$B$78,MATCH(B15,Gantt!$A$8:$A$78,0)),"check ID"))</f>
        <v/>
      </c>
      <c r="D15" s="36"/>
      <c r="E15" s="36"/>
      <c r="F15" s="38" t="str">
        <f aca="false">IF(OR(D15="",E15=""),"",E15-D15)</f>
        <v/>
      </c>
      <c r="G15" s="37"/>
      <c r="H15" s="37"/>
      <c r="I15" s="37"/>
    </row>
    <row r="16" customFormat="false" ht="15" hidden="false" customHeight="false" outlineLevel="0" collapsed="false">
      <c r="A16" s="36"/>
      <c r="B16" s="37"/>
      <c r="C16" s="38" t="str">
        <f aca="false">IF(B16="","",IFERROR(INDEX(Gantt!$B$8:$B$78,MATCH(B16,Gantt!$A$8:$A$78,0)),"check ID"))</f>
        <v/>
      </c>
      <c r="D16" s="36"/>
      <c r="E16" s="36"/>
      <c r="F16" s="38" t="str">
        <f aca="false">IF(OR(D16="",E16=""),"",E16-D16)</f>
        <v/>
      </c>
      <c r="G16" s="37"/>
      <c r="H16" s="37"/>
      <c r="I16" s="37"/>
    </row>
    <row r="17" customFormat="false" ht="15" hidden="false" customHeight="false" outlineLevel="0" collapsed="false">
      <c r="A17" s="36"/>
      <c r="B17" s="37"/>
      <c r="C17" s="38" t="str">
        <f aca="false">IF(B17="","",IFERROR(INDEX(Gantt!$B$8:$B$78,MATCH(B17,Gantt!$A$8:$A$78,0)),"check ID"))</f>
        <v/>
      </c>
      <c r="D17" s="36"/>
      <c r="E17" s="36"/>
      <c r="F17" s="38" t="str">
        <f aca="false">IF(OR(D17="",E17=""),"",E17-D17)</f>
        <v/>
      </c>
      <c r="G17" s="37"/>
      <c r="H17" s="37"/>
      <c r="I17" s="37"/>
    </row>
    <row r="18" customFormat="false" ht="15" hidden="false" customHeight="false" outlineLevel="0" collapsed="false">
      <c r="A18" s="36"/>
      <c r="B18" s="37"/>
      <c r="C18" s="38" t="str">
        <f aca="false">IF(B18="","",IFERROR(INDEX(Gantt!$B$8:$B$78,MATCH(B18,Gantt!$A$8:$A$78,0)),"check ID"))</f>
        <v/>
      </c>
      <c r="D18" s="36"/>
      <c r="E18" s="36"/>
      <c r="F18" s="38" t="str">
        <f aca="false">IF(OR(D18="",E18=""),"",E18-D18)</f>
        <v/>
      </c>
      <c r="G18" s="37"/>
      <c r="H18" s="37"/>
      <c r="I18" s="37"/>
    </row>
    <row r="19" customFormat="false" ht="15" hidden="false" customHeight="false" outlineLevel="0" collapsed="false">
      <c r="A19" s="36"/>
      <c r="B19" s="37"/>
      <c r="C19" s="38" t="str">
        <f aca="false">IF(B19="","",IFERROR(INDEX(Gantt!$B$8:$B$78,MATCH(B19,Gantt!$A$8:$A$78,0)),"check ID"))</f>
        <v/>
      </c>
      <c r="D19" s="36"/>
      <c r="E19" s="36"/>
      <c r="F19" s="38" t="str">
        <f aca="false">IF(OR(D19="",E19=""),"",E19-D19)</f>
        <v/>
      </c>
      <c r="G19" s="37"/>
      <c r="H19" s="37"/>
      <c r="I19" s="37"/>
    </row>
    <row r="20" customFormat="false" ht="15" hidden="false" customHeight="false" outlineLevel="0" collapsed="false">
      <c r="A20" s="36"/>
      <c r="B20" s="37"/>
      <c r="C20" s="38" t="str">
        <f aca="false">IF(B20="","",IFERROR(INDEX(Gantt!$B$8:$B$78,MATCH(B20,Gantt!$A$8:$A$78,0)),"check ID"))</f>
        <v/>
      </c>
      <c r="D20" s="36"/>
      <c r="E20" s="36"/>
      <c r="F20" s="38" t="str">
        <f aca="false">IF(OR(D20="",E20=""),"",E20-D20)</f>
        <v/>
      </c>
      <c r="G20" s="37"/>
      <c r="H20" s="37"/>
      <c r="I20" s="37"/>
    </row>
    <row r="21" customFormat="false" ht="15" hidden="false" customHeight="false" outlineLevel="0" collapsed="false">
      <c r="A21" s="36"/>
      <c r="B21" s="37"/>
      <c r="C21" s="38" t="str">
        <f aca="false">IF(B21="","",IFERROR(INDEX(Gantt!$B$8:$B$78,MATCH(B21,Gantt!$A$8:$A$78,0)),"check ID"))</f>
        <v/>
      </c>
      <c r="D21" s="36"/>
      <c r="E21" s="36"/>
      <c r="F21" s="38" t="str">
        <f aca="false">IF(OR(D21="",E21=""),"",E21-D21)</f>
        <v/>
      </c>
      <c r="G21" s="37"/>
      <c r="H21" s="37"/>
      <c r="I21" s="37"/>
    </row>
    <row r="22" customFormat="false" ht="15" hidden="false" customHeight="false" outlineLevel="0" collapsed="false">
      <c r="A22" s="36"/>
      <c r="B22" s="37"/>
      <c r="C22" s="38" t="str">
        <f aca="false">IF(B22="","",IFERROR(INDEX(Gantt!$B$8:$B$78,MATCH(B22,Gantt!$A$8:$A$78,0)),"check ID"))</f>
        <v/>
      </c>
      <c r="D22" s="36"/>
      <c r="E22" s="36"/>
      <c r="F22" s="38" t="str">
        <f aca="false">IF(OR(D22="",E22=""),"",E22-D22)</f>
        <v/>
      </c>
      <c r="G22" s="37"/>
      <c r="H22" s="37"/>
      <c r="I22" s="37"/>
    </row>
    <row r="23" customFormat="false" ht="15" hidden="false" customHeight="false" outlineLevel="0" collapsed="false">
      <c r="A23" s="36"/>
      <c r="B23" s="37"/>
      <c r="C23" s="38" t="str">
        <f aca="false">IF(B23="","",IFERROR(INDEX(Gantt!$B$8:$B$78,MATCH(B23,Gantt!$A$8:$A$78,0)),"check ID"))</f>
        <v/>
      </c>
      <c r="D23" s="36"/>
      <c r="E23" s="36"/>
      <c r="F23" s="38" t="str">
        <f aca="false">IF(OR(D23="",E23=""),"",E23-D23)</f>
        <v/>
      </c>
      <c r="G23" s="37"/>
      <c r="H23" s="37"/>
      <c r="I23" s="37"/>
    </row>
    <row r="24" customFormat="false" ht="15" hidden="false" customHeight="false" outlineLevel="0" collapsed="false">
      <c r="A24" s="36"/>
      <c r="B24" s="37"/>
      <c r="C24" s="38" t="str">
        <f aca="false">IF(B24="","",IFERROR(INDEX(Gantt!$B$8:$B$78,MATCH(B24,Gantt!$A$8:$A$78,0)),"check ID"))</f>
        <v/>
      </c>
      <c r="D24" s="36"/>
      <c r="E24" s="36"/>
      <c r="F24" s="38" t="str">
        <f aca="false">IF(OR(D24="",E24=""),"",E24-D24)</f>
        <v/>
      </c>
      <c r="G24" s="37"/>
      <c r="H24" s="37"/>
      <c r="I24" s="37"/>
    </row>
    <row r="25" customFormat="false" ht="15" hidden="false" customHeight="false" outlineLevel="0" collapsed="false">
      <c r="A25" s="36"/>
      <c r="B25" s="37"/>
      <c r="C25" s="38" t="str">
        <f aca="false">IF(B25="","",IFERROR(INDEX(Gantt!$B$8:$B$78,MATCH(B25,Gantt!$A$8:$A$78,0)),"check ID"))</f>
        <v/>
      </c>
      <c r="D25" s="36"/>
      <c r="E25" s="36"/>
      <c r="F25" s="38" t="str">
        <f aca="false">IF(OR(D25="",E25=""),"",E25-D25)</f>
        <v/>
      </c>
      <c r="G25" s="37"/>
      <c r="H25" s="37"/>
      <c r="I25" s="37"/>
    </row>
    <row r="26" customFormat="false" ht="15" hidden="false" customHeight="false" outlineLevel="0" collapsed="false">
      <c r="A26" s="36"/>
      <c r="B26" s="37"/>
      <c r="C26" s="38" t="str">
        <f aca="false">IF(B26="","",IFERROR(INDEX(Gantt!$B$8:$B$78,MATCH(B26,Gantt!$A$8:$A$78,0)),"check ID"))</f>
        <v/>
      </c>
      <c r="D26" s="36"/>
      <c r="E26" s="36"/>
      <c r="F26" s="38" t="str">
        <f aca="false">IF(OR(D26="",E26=""),"",E26-D26)</f>
        <v/>
      </c>
      <c r="G26" s="37"/>
      <c r="H26" s="37"/>
      <c r="I26" s="37"/>
    </row>
    <row r="27" customFormat="false" ht="15" hidden="false" customHeight="false" outlineLevel="0" collapsed="false">
      <c r="A27" s="36"/>
      <c r="B27" s="37"/>
      <c r="C27" s="38" t="str">
        <f aca="false">IF(B27="","",IFERROR(INDEX(Gantt!$B$8:$B$78,MATCH(B27,Gantt!$A$8:$A$78,0)),"check ID"))</f>
        <v/>
      </c>
      <c r="D27" s="36"/>
      <c r="E27" s="36"/>
      <c r="F27" s="38" t="str">
        <f aca="false">IF(OR(D27="",E27=""),"",E27-D27)</f>
        <v/>
      </c>
      <c r="G27" s="37"/>
      <c r="H27" s="37"/>
      <c r="I27" s="37"/>
    </row>
    <row r="28" customFormat="false" ht="15" hidden="false" customHeight="false" outlineLevel="0" collapsed="false">
      <c r="A28" s="36"/>
      <c r="B28" s="37"/>
      <c r="C28" s="38" t="str">
        <f aca="false">IF(B28="","",IFERROR(INDEX(Gantt!$B$8:$B$78,MATCH(B28,Gantt!$A$8:$A$78,0)),"check ID"))</f>
        <v/>
      </c>
      <c r="D28" s="36"/>
      <c r="E28" s="36"/>
      <c r="F28" s="38" t="str">
        <f aca="false">IF(OR(D28="",E28=""),"",E28-D28)</f>
        <v/>
      </c>
      <c r="G28" s="37"/>
      <c r="H28" s="37"/>
      <c r="I28" s="37"/>
    </row>
    <row r="29" customFormat="false" ht="15" hidden="false" customHeight="false" outlineLevel="0" collapsed="false">
      <c r="A29" s="36"/>
      <c r="B29" s="37"/>
      <c r="C29" s="38" t="str">
        <f aca="false">IF(B29="","",IFERROR(INDEX(Gantt!$B$8:$B$78,MATCH(B29,Gantt!$A$8:$A$78,0)),"check ID"))</f>
        <v/>
      </c>
      <c r="D29" s="36"/>
      <c r="E29" s="36"/>
      <c r="F29" s="38" t="str">
        <f aca="false">IF(OR(D29="",E29=""),"",E29-D29)</f>
        <v/>
      </c>
      <c r="G29" s="37"/>
      <c r="H29" s="37"/>
      <c r="I29" s="37"/>
    </row>
    <row r="30" customFormat="false" ht="15" hidden="false" customHeight="false" outlineLevel="0" collapsed="false">
      <c r="A30" s="36"/>
      <c r="B30" s="37"/>
      <c r="C30" s="38" t="str">
        <f aca="false">IF(B30="","",IFERROR(INDEX(Gantt!$B$8:$B$78,MATCH(B30,Gantt!$A$8:$A$78,0)),"check ID"))</f>
        <v/>
      </c>
      <c r="D30" s="36"/>
      <c r="E30" s="36"/>
      <c r="F30" s="38" t="str">
        <f aca="false">IF(OR(D30="",E30=""),"",E30-D30)</f>
        <v/>
      </c>
      <c r="G30" s="37"/>
      <c r="H30" s="37"/>
      <c r="I30" s="37"/>
    </row>
    <row r="31" customFormat="false" ht="15" hidden="false" customHeight="false" outlineLevel="0" collapsed="false">
      <c r="A31" s="36"/>
      <c r="B31" s="37"/>
      <c r="C31" s="38" t="str">
        <f aca="false">IF(B31="","",IFERROR(INDEX(Gantt!$B$8:$B$78,MATCH(B31,Gantt!$A$8:$A$78,0)),"check ID"))</f>
        <v/>
      </c>
      <c r="D31" s="36"/>
      <c r="E31" s="36"/>
      <c r="F31" s="38" t="str">
        <f aca="false">IF(OR(D31="",E31=""),"",E31-D31)</f>
        <v/>
      </c>
      <c r="G31" s="37"/>
      <c r="H31" s="37"/>
      <c r="I31" s="37"/>
    </row>
    <row r="32" customFormat="false" ht="15" hidden="false" customHeight="false" outlineLevel="0" collapsed="false">
      <c r="A32" s="36"/>
      <c r="B32" s="37"/>
      <c r="C32" s="38" t="str">
        <f aca="false">IF(B32="","",IFERROR(INDEX(Gantt!$B$8:$B$78,MATCH(B32,Gantt!$A$8:$A$78,0)),"check ID"))</f>
        <v/>
      </c>
      <c r="D32" s="36"/>
      <c r="E32" s="36"/>
      <c r="F32" s="38" t="str">
        <f aca="false">IF(OR(D32="",E32=""),"",E32-D32)</f>
        <v/>
      </c>
      <c r="G32" s="37"/>
      <c r="H32" s="37"/>
      <c r="I32" s="37"/>
    </row>
    <row r="33" customFormat="false" ht="15" hidden="false" customHeight="false" outlineLevel="0" collapsed="false">
      <c r="A33" s="36"/>
      <c r="B33" s="37"/>
      <c r="C33" s="38" t="str">
        <f aca="false">IF(B33="","",IFERROR(INDEX(Gantt!$B$8:$B$78,MATCH(B33,Gantt!$A$8:$A$78,0)),"check ID"))</f>
        <v/>
      </c>
      <c r="D33" s="36"/>
      <c r="E33" s="36"/>
      <c r="F33" s="38" t="str">
        <f aca="false">IF(OR(D33="",E33=""),"",E33-D33)</f>
        <v/>
      </c>
      <c r="G33" s="37"/>
      <c r="H33" s="37"/>
      <c r="I33" s="37"/>
    </row>
    <row r="34" customFormat="false" ht="15" hidden="false" customHeight="false" outlineLevel="0" collapsed="false">
      <c r="A34" s="36"/>
      <c r="B34" s="37"/>
      <c r="C34" s="38" t="str">
        <f aca="false">IF(B34="","",IFERROR(INDEX(Gantt!$B$8:$B$78,MATCH(B34,Gantt!$A$8:$A$78,0)),"check ID"))</f>
        <v/>
      </c>
      <c r="D34" s="36"/>
      <c r="E34" s="36"/>
      <c r="F34" s="38" t="str">
        <f aca="false">IF(OR(D34="",E34=""),"",E34-D34)</f>
        <v/>
      </c>
      <c r="G34" s="37"/>
      <c r="H34" s="37"/>
      <c r="I34" s="37"/>
    </row>
    <row r="35" customFormat="false" ht="15" hidden="false" customHeight="false" outlineLevel="0" collapsed="false">
      <c r="A35" s="36"/>
      <c r="B35" s="37"/>
      <c r="C35" s="38" t="str">
        <f aca="false">IF(B35="","",IFERROR(INDEX(Gantt!$B$8:$B$78,MATCH(B35,Gantt!$A$8:$A$78,0)),"check ID"))</f>
        <v/>
      </c>
      <c r="D35" s="36"/>
      <c r="E35" s="36"/>
      <c r="F35" s="38" t="str">
        <f aca="false">IF(OR(D35="",E35=""),"",E35-D35)</f>
        <v/>
      </c>
      <c r="G35" s="37"/>
      <c r="H35" s="37"/>
      <c r="I35" s="37"/>
    </row>
    <row r="36" customFormat="false" ht="15" hidden="false" customHeight="false" outlineLevel="0" collapsed="false">
      <c r="A36" s="36"/>
      <c r="B36" s="37"/>
      <c r="C36" s="38" t="str">
        <f aca="false">IF(B36="","",IFERROR(INDEX(Gantt!$B$8:$B$78,MATCH(B36,Gantt!$A$8:$A$78,0)),"check ID"))</f>
        <v/>
      </c>
      <c r="D36" s="36"/>
      <c r="E36" s="36"/>
      <c r="F36" s="38" t="str">
        <f aca="false">IF(OR(D36="",E36=""),"",E36-D36)</f>
        <v/>
      </c>
      <c r="G36" s="37"/>
      <c r="H36" s="37"/>
      <c r="I36" s="37"/>
    </row>
    <row r="37" customFormat="false" ht="15" hidden="false" customHeight="false" outlineLevel="0" collapsed="false">
      <c r="A37" s="36"/>
      <c r="B37" s="37"/>
      <c r="C37" s="38" t="str">
        <f aca="false">IF(B37="","",IFERROR(INDEX(Gantt!$B$8:$B$78,MATCH(B37,Gantt!$A$8:$A$78,0)),"check ID"))</f>
        <v/>
      </c>
      <c r="D37" s="36"/>
      <c r="E37" s="36"/>
      <c r="F37" s="38" t="str">
        <f aca="false">IF(OR(D37="",E37=""),"",E37-D37)</f>
        <v/>
      </c>
      <c r="G37" s="37"/>
      <c r="H37" s="37"/>
      <c r="I37" s="37"/>
    </row>
    <row r="38" customFormat="false" ht="15" hidden="false" customHeight="false" outlineLevel="0" collapsed="false">
      <c r="A38" s="36"/>
      <c r="B38" s="37"/>
      <c r="C38" s="38" t="str">
        <f aca="false">IF(B38="","",IFERROR(INDEX(Gantt!$B$8:$B$78,MATCH(B38,Gantt!$A$8:$A$78,0)),"check ID"))</f>
        <v/>
      </c>
      <c r="D38" s="36"/>
      <c r="E38" s="36"/>
      <c r="F38" s="38" t="str">
        <f aca="false">IF(OR(D38="",E38=""),"",E38-D38)</f>
        <v/>
      </c>
      <c r="G38" s="37"/>
      <c r="H38" s="37"/>
      <c r="I38" s="37"/>
    </row>
    <row r="39" customFormat="false" ht="15" hidden="false" customHeight="false" outlineLevel="0" collapsed="false">
      <c r="A39" s="36"/>
      <c r="B39" s="37"/>
      <c r="C39" s="38" t="str">
        <f aca="false">IF(B39="","",IFERROR(INDEX(Gantt!$B$8:$B$78,MATCH(B39,Gantt!$A$8:$A$78,0)),"check ID"))</f>
        <v/>
      </c>
      <c r="D39" s="36"/>
      <c r="E39" s="36"/>
      <c r="F39" s="38" t="str">
        <f aca="false">IF(OR(D39="",E39=""),"",E39-D39)</f>
        <v/>
      </c>
      <c r="G39" s="37"/>
      <c r="H39" s="37"/>
      <c r="I39" s="37"/>
    </row>
    <row r="40" customFormat="false" ht="15" hidden="false" customHeight="false" outlineLevel="0" collapsed="false">
      <c r="A40" s="36"/>
      <c r="B40" s="37"/>
      <c r="C40" s="38" t="str">
        <f aca="false">IF(B40="","",IFERROR(INDEX(Gantt!$B$8:$B$78,MATCH(B40,Gantt!$A$8:$A$78,0)),"check ID"))</f>
        <v/>
      </c>
      <c r="D40" s="36"/>
      <c r="E40" s="36"/>
      <c r="F40" s="38" t="str">
        <f aca="false">IF(OR(D40="",E40=""),"",E40-D40)</f>
        <v/>
      </c>
      <c r="G40" s="37"/>
      <c r="H40" s="37"/>
      <c r="I40" s="37"/>
    </row>
    <row r="41" customFormat="false" ht="15" hidden="false" customHeight="false" outlineLevel="0" collapsed="false">
      <c r="A41" s="36"/>
      <c r="B41" s="37"/>
      <c r="C41" s="38" t="str">
        <f aca="false">IF(B41="","",IFERROR(INDEX(Gantt!$B$8:$B$78,MATCH(B41,Gantt!$A$8:$A$78,0)),"check ID"))</f>
        <v/>
      </c>
      <c r="D41" s="36"/>
      <c r="E41" s="36"/>
      <c r="F41" s="38" t="str">
        <f aca="false">IF(OR(D41="",E41=""),"",E41-D41)</f>
        <v/>
      </c>
      <c r="G41" s="37"/>
      <c r="H41" s="37"/>
      <c r="I41" s="37"/>
    </row>
    <row r="42" customFormat="false" ht="15" hidden="false" customHeight="false" outlineLevel="0" collapsed="false">
      <c r="A42" s="36"/>
      <c r="B42" s="37"/>
      <c r="C42" s="38" t="str">
        <f aca="false">IF(B42="","",IFERROR(INDEX(Gantt!$B$8:$B$78,MATCH(B42,Gantt!$A$8:$A$78,0)),"check ID"))</f>
        <v/>
      </c>
      <c r="D42" s="36"/>
      <c r="E42" s="36"/>
      <c r="F42" s="38" t="str">
        <f aca="false">IF(OR(D42="",E42=""),"",E42-D42)</f>
        <v/>
      </c>
      <c r="G42" s="37"/>
      <c r="H42" s="37"/>
      <c r="I42" s="37"/>
    </row>
    <row r="43" customFormat="false" ht="15" hidden="false" customHeight="false" outlineLevel="0" collapsed="false">
      <c r="A43" s="36"/>
      <c r="B43" s="37"/>
      <c r="C43" s="38" t="str">
        <f aca="false">IF(B43="","",IFERROR(INDEX(Gantt!$B$8:$B$78,MATCH(B43,Gantt!$A$8:$A$78,0)),"check ID"))</f>
        <v/>
      </c>
      <c r="D43" s="36"/>
      <c r="E43" s="36"/>
      <c r="F43" s="38" t="str">
        <f aca="false">IF(OR(D43="",E43=""),"",E43-D43)</f>
        <v/>
      </c>
      <c r="G43" s="37"/>
      <c r="H43" s="37"/>
      <c r="I43" s="37"/>
    </row>
    <row r="44" customFormat="false" ht="15" hidden="false" customHeight="false" outlineLevel="0" collapsed="false">
      <c r="A44" s="36"/>
      <c r="B44" s="37"/>
      <c r="C44" s="38" t="str">
        <f aca="false">IF(B44="","",IFERROR(INDEX(Gantt!$B$8:$B$78,MATCH(B44,Gantt!$A$8:$A$78,0)),"check ID"))</f>
        <v/>
      </c>
      <c r="D44" s="36"/>
      <c r="E44" s="36"/>
      <c r="F44" s="38" t="str">
        <f aca="false">IF(OR(D44="",E44=""),"",E44-D44)</f>
        <v/>
      </c>
      <c r="G44" s="37"/>
      <c r="H44" s="37"/>
      <c r="I44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2026-10-23T16:44:40Z</dcterms:created>
  <dc:creator>openpyxl</dc:creator>
  <dc:description/>
  <dc:language>en-US</dc:language>
  <cp:lastModifiedBy/>
  <dcterms:modified xsi:type="dcterms:W3CDTF">2026-10-23T16:44:40Z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